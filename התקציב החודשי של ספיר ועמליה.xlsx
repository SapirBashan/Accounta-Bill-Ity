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צמבר 12" sheetId="1" r:id="rId5"/>
    <sheet state="visible" name="ינואר 1.26" sheetId="2" r:id="rId6"/>
    <sheet state="visible" name="פבואר 2.26" sheetId="3" r:id="rId7"/>
    <sheet state="visible" name="אפריל 4.26" sheetId="4" r:id="rId8"/>
    <sheet state="visible" name="מאי 5.26" sheetId="5" r:id="rId9"/>
    <sheet state="visible" name="יוני 6.26" sheetId="6" r:id="rId10"/>
    <sheet state="visible" name="יולי 7.26" sheetId="7" r:id="rId11"/>
    <sheet state="visible" name="אוגוסט 8.26" sheetId="8" r:id="rId12"/>
    <sheet state="visible" name="ספטמבר 9.26" sheetId="9" r:id="rId13"/>
    <sheet state="visible" name="סיכום שנתי" sheetId="10" r:id="rId14"/>
  </sheets>
  <definedNames/>
  <calcPr/>
</workbook>
</file>

<file path=xl/sharedStrings.xml><?xml version="1.0" encoding="utf-8"?>
<sst xmlns="http://schemas.openxmlformats.org/spreadsheetml/2006/main" count="714" uniqueCount="86">
  <si>
    <t>תקציב חודשי</t>
  </si>
  <si>
    <t>סך הכל</t>
  </si>
  <si>
    <t>הוצאות קבועות</t>
  </si>
  <si>
    <t>הוצאות משתנות</t>
  </si>
  <si>
    <t>תקציב</t>
  </si>
  <si>
    <t>הוצאות בפועל</t>
  </si>
  <si>
    <t>יתרת תקציב</t>
  </si>
  <si>
    <t>הוצאות</t>
  </si>
  <si>
    <t>דיור</t>
  </si>
  <si>
    <t>שכר דירה \ משכנתה</t>
  </si>
  <si>
    <t xml:space="preserve">חשמל </t>
  </si>
  <si>
    <t>ארנונה</t>
  </si>
  <si>
    <t xml:space="preserve">מים </t>
  </si>
  <si>
    <t>ועד בית</t>
  </si>
  <si>
    <t>גז</t>
  </si>
  <si>
    <t>משכורת</t>
  </si>
  <si>
    <t>סך הכל דיור</t>
  </si>
  <si>
    <t xml:space="preserve">תחזוקת בית </t>
  </si>
  <si>
    <t>חיוניות</t>
  </si>
  <si>
    <t>ביטוח רכב</t>
  </si>
  <si>
    <t>ביטוח בריאות</t>
  </si>
  <si>
    <t xml:space="preserve">מזון לבית </t>
  </si>
  <si>
    <t xml:space="preserve">הלוואות </t>
  </si>
  <si>
    <t xml:space="preserve">ביגוד והנעלה </t>
  </si>
  <si>
    <t>תזרים חודשי</t>
  </si>
  <si>
    <t xml:space="preserve">מנויים </t>
  </si>
  <si>
    <t>קוסמטיקה</t>
  </si>
  <si>
    <t xml:space="preserve">דמי כרטיס </t>
  </si>
  <si>
    <t>תספורות</t>
  </si>
  <si>
    <t>אינטרנט</t>
  </si>
  <si>
    <t>סופר פארם</t>
  </si>
  <si>
    <t xml:space="preserve">טלוויזיה </t>
  </si>
  <si>
    <t>סך הכל חיוניות</t>
  </si>
  <si>
    <t>טלפון</t>
  </si>
  <si>
    <t>מותרות</t>
  </si>
  <si>
    <t>תזרים חודשי בפועל</t>
  </si>
  <si>
    <t>אפליקציות</t>
  </si>
  <si>
    <t xml:space="preserve">אוכל בחוץ </t>
  </si>
  <si>
    <t xml:space="preserve">גנים </t>
  </si>
  <si>
    <t>בילויים</t>
  </si>
  <si>
    <t xml:space="preserve">קורסים </t>
  </si>
  <si>
    <t>אירועים</t>
  </si>
  <si>
    <t xml:space="preserve">חסכון חודשי </t>
  </si>
  <si>
    <t>מתנות</t>
  </si>
  <si>
    <t>השקעות</t>
  </si>
  <si>
    <t>סך הכל מותרות</t>
  </si>
  <si>
    <t xml:space="preserve">תחבורה ציבורית </t>
  </si>
  <si>
    <t>רכב ותחבורה</t>
  </si>
  <si>
    <t>סגריות</t>
  </si>
  <si>
    <t>מעשרות</t>
  </si>
  <si>
    <t>דלק</t>
  </si>
  <si>
    <t>אחזקת רכב</t>
  </si>
  <si>
    <t>דוחות</t>
  </si>
  <si>
    <t>חניה</t>
  </si>
  <si>
    <t>סך הכל רכב ותחבורה</t>
  </si>
  <si>
    <t>חינוך והשכלה</t>
  </si>
  <si>
    <t>ספרים</t>
  </si>
  <si>
    <t xml:space="preserve">שכר לימוד </t>
  </si>
  <si>
    <t>לימודי נדל"ן</t>
  </si>
  <si>
    <t>נהיגה</t>
  </si>
  <si>
    <t>סך הכל חינוך והשכלה</t>
  </si>
  <si>
    <t>סה''כ קבועות</t>
  </si>
  <si>
    <t>סה''כ משתנות</t>
  </si>
  <si>
    <t>מניות</t>
  </si>
  <si>
    <t>ביטוח לאומי</t>
  </si>
  <si>
    <t>תיקון מחשב</t>
  </si>
  <si>
    <t>תיקונים</t>
  </si>
  <si>
    <t>מונית</t>
  </si>
  <si>
    <t>תחביבים</t>
  </si>
  <si>
    <t>ממוצע הכנסות שנתי</t>
  </si>
  <si>
    <t>ממוצע הוצאות שנתי</t>
  </si>
  <si>
    <t>חודש</t>
  </si>
  <si>
    <t xml:space="preserve">הכנסות </t>
  </si>
  <si>
    <t xml:space="preserve">ינואר </t>
  </si>
  <si>
    <t>פברואר</t>
  </si>
  <si>
    <t>מרץ</t>
  </si>
  <si>
    <t>אפריל</t>
  </si>
  <si>
    <t>מאי</t>
  </si>
  <si>
    <t>יוני</t>
  </si>
  <si>
    <t>ממוצע תזרים שנתי</t>
  </si>
  <si>
    <t>יולי</t>
  </si>
  <si>
    <t>אוגוסט</t>
  </si>
  <si>
    <t>ספטמבר</t>
  </si>
  <si>
    <t>אוקטובר</t>
  </si>
  <si>
    <t>נובמבר</t>
  </si>
  <si>
    <t>דצמבר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</si>
</sst>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₪-40D]#,##0"/>
    <numFmt numFmtId="165" formatCode="[$₪-40D]#,##0.00"/>
  </numFmts>
  <fonts count="13">
    <font>
      <sz val="10.0"/>
      <color rgb="FF000000"/>
      <name val="Arial"/>
      <scheme val="minor"/>
    </font>
    <font>
      <sz val="11.0"/>
      <color rgb="FF000000"/>
      <name val="Heebo"/>
    </font>
    <font>
      <color theme="1"/>
      <name val="Heebo"/>
    </font>
    <font>
      <sz val="26.0"/>
      <color rgb="FF000000"/>
      <name val="Heebo"/>
    </font>
    <font/>
    <font>
      <sz val="20.0"/>
      <color rgb="FF000000"/>
      <name val="Heebo"/>
    </font>
    <font>
      <sz val="15.0"/>
      <color rgb="FF000000"/>
      <name val="Heebo"/>
    </font>
    <font>
      <sz val="12.0"/>
      <color rgb="FF000000"/>
      <name val="Heebo"/>
    </font>
    <font>
      <sz val="16.0"/>
      <color rgb="FF000000"/>
      <name val="Heebo"/>
    </font>
    <font>
      <b/>
      <sz val="13.0"/>
      <color rgb="FF000000"/>
      <name val="Heebo"/>
    </font>
    <font>
      <sz val="13.0"/>
      <color rgb="FF000000"/>
      <name val="Heebo"/>
    </font>
    <font>
      <color theme="1"/>
      <name val="Arial"/>
      <scheme val="minor"/>
    </font>
    <font>
      <sz val="15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0" fontId="3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3" fontId="3" numFmtId="0" xfId="0" applyAlignment="1" applyBorder="1" applyFill="1" applyFont="1">
      <alignment horizontal="center" readingOrder="0" shrinkToFit="0" vertical="center" wrapText="0"/>
    </xf>
    <xf borderId="10" fillId="0" fontId="4" numFmtId="0" xfId="0" applyBorder="1" applyFont="1"/>
    <xf borderId="11" fillId="0" fontId="4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9" fillId="3" fontId="5" numFmtId="0" xfId="0" applyAlignment="1" applyBorder="1" applyFill="1" applyFont="1">
      <alignment horizontal="center" readingOrder="0" shrinkToFit="0" vertical="center" wrapText="0"/>
    </xf>
    <xf borderId="12" fillId="4" fontId="6" numFmtId="0" xfId="0" applyAlignment="1" applyBorder="1" applyFill="1" applyFont="1">
      <alignment horizontal="center" readingOrder="0" shrinkToFit="0" vertical="center" wrapText="0"/>
    </xf>
    <xf borderId="12" fillId="2" fontId="6" numFmtId="0" xfId="0" applyAlignment="1" applyBorder="1" applyFill="1" applyFont="1">
      <alignment horizontal="center" readingOrder="0" shrinkToFit="0" vertical="center" wrapText="0"/>
    </xf>
    <xf borderId="12" fillId="5" fontId="6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2" fontId="6" numFmtId="0" xfId="0" applyAlignment="1" applyBorder="1" applyFill="1" applyFont="1">
      <alignment horizontal="center" readingOrder="0" shrinkToFit="0" vertical="center" wrapText="0"/>
    </xf>
    <xf borderId="13" fillId="4" fontId="6" numFmtId="0" xfId="0" applyAlignment="1" applyBorder="1" applyFill="1" applyFont="1">
      <alignment horizontal="center" readingOrder="0" shrinkToFit="0" vertical="center" wrapText="0"/>
    </xf>
    <xf borderId="13" fillId="2" fontId="6" numFmtId="0" xfId="0" applyAlignment="1" applyBorder="1" applyFill="1" applyFont="1">
      <alignment horizontal="center" readingOrder="0" shrinkToFit="0" vertical="center" wrapText="0"/>
    </xf>
    <xf borderId="14" fillId="5" fontId="6" numFmtId="0" xfId="0" applyAlignment="1" applyBorder="1" applyFill="1" applyFont="1">
      <alignment horizontal="center" readingOrder="0" shrinkToFit="0" vertical="center" wrapText="0"/>
    </xf>
    <xf borderId="14" fillId="2" fontId="6" numFmtId="0" xfId="0" applyAlignment="1" applyBorder="1" applyFill="1" applyFont="1">
      <alignment horizontal="center" readingOrder="0" shrinkToFit="0" vertical="center" wrapText="0"/>
    </xf>
    <xf borderId="14" fillId="4" fontId="6" numFmtId="0" xfId="0" applyAlignment="1" applyBorder="1" applyFill="1" applyFont="1">
      <alignment horizontal="center" readingOrder="0" shrinkToFit="0" vertical="center" wrapText="0"/>
    </xf>
    <xf borderId="15" fillId="4" fontId="1" numFmtId="164" xfId="0" applyAlignment="1" applyBorder="1" applyFill="1" applyFont="1" applyNumberFormat="1">
      <alignment horizontal="center" readingOrder="0" shrinkToFit="0" vertical="center" wrapText="0"/>
    </xf>
    <xf borderId="15" fillId="2" fontId="1" numFmtId="164" xfId="0" applyAlignment="1" applyBorder="1" applyFill="1" applyFont="1" applyNumberFormat="1">
      <alignment horizontal="center" readingOrder="0" shrinkToFit="0" vertical="center" wrapText="0"/>
    </xf>
    <xf borderId="15" fillId="5" fontId="1" numFmtId="164" xfId="0" applyAlignment="1" applyBorder="1" applyFill="1" applyFont="1" applyNumberFormat="1">
      <alignment horizontal="center" readingOrder="0" shrinkToFit="0" vertical="center" wrapText="0"/>
    </xf>
    <xf borderId="9" fillId="6" fontId="6" numFmtId="0" xfId="0" applyAlignment="1" applyBorder="1" applyFill="1" applyFont="1">
      <alignment horizontal="center" readingOrder="0" shrinkToFit="0" vertical="center" wrapText="0"/>
    </xf>
    <xf borderId="12" fillId="0" fontId="4" numFmtId="0" xfId="0" applyBorder="1" applyFont="1"/>
    <xf borderId="12" fillId="7" fontId="7" numFmtId="0" xfId="0" applyAlignment="1" applyBorder="1" applyFill="1" applyFont="1">
      <alignment horizontal="center" readingOrder="0" shrinkToFit="0" vertical="center" wrapText="0"/>
    </xf>
    <xf borderId="12" fillId="7" fontId="7" numFmtId="164" xfId="0" applyAlignment="1" applyBorder="1" applyFill="1" applyFont="1" applyNumberFormat="1">
      <alignment horizontal="center" readingOrder="0" shrinkToFit="0" vertical="center" wrapText="0"/>
    </xf>
    <xf borderId="14" fillId="7" fontId="7" numFmtId="0" xfId="0" applyAlignment="1" applyBorder="1" applyFill="1" applyFont="1">
      <alignment horizontal="center" readingOrder="0" shrinkToFit="0" vertical="center" wrapText="0"/>
    </xf>
    <xf borderId="14" fillId="7" fontId="1" numFmtId="164" xfId="0" applyAlignment="1" applyBorder="1" applyFill="1" applyFont="1" applyNumberFormat="1">
      <alignment horizontal="center" readingOrder="0" shrinkToFit="0" vertical="center" wrapText="0"/>
    </xf>
    <xf borderId="12" fillId="7" fontId="1" numFmtId="164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2" fontId="8" numFmtId="0" xfId="0" applyAlignment="1" applyBorder="1" applyFill="1" applyFont="1">
      <alignment horizontal="center" readingOrder="0" shrinkToFit="0" vertical="center" wrapText="0"/>
    </xf>
    <xf borderId="13" fillId="8" fontId="1" numFmtId="165" xfId="0" applyAlignment="1" applyBorder="1" applyFill="1" applyFont="1" applyNumberFormat="1">
      <alignment horizontal="center" readingOrder="0" shrinkToFit="0" vertical="center" wrapText="0"/>
    </xf>
    <xf borderId="12" fillId="9" fontId="9" numFmtId="0" xfId="0" applyAlignment="1" applyBorder="1" applyFill="1" applyFont="1">
      <alignment horizontal="center" readingOrder="0" shrinkToFit="0" vertical="center" wrapText="0"/>
    </xf>
    <xf borderId="12" fillId="9" fontId="10" numFmtId="164" xfId="0" applyAlignment="1" applyBorder="1" applyFill="1" applyFont="1" applyNumberFormat="1">
      <alignment horizontal="center" readingOrder="0" shrinkToFit="0" vertical="center" wrapText="0"/>
    </xf>
    <xf borderId="15" fillId="0" fontId="4" numFmtId="0" xfId="0" applyBorder="1" applyFont="1"/>
    <xf borderId="12" fillId="9" fontId="1" numFmtId="164" xfId="0" applyAlignment="1" applyBorder="1" applyFill="1" applyFont="1" applyNumberFormat="1">
      <alignment horizontal="center" readingOrder="0" shrinkToFit="0" vertical="center" wrapText="0"/>
    </xf>
    <xf borderId="12" fillId="7" fontId="7" numFmtId="164" xfId="0" applyAlignment="1" applyBorder="1" applyFill="1" applyFont="1" applyNumberFormat="1">
      <alignment horizontal="center" readingOrder="0" shrinkToFit="0" vertical="center" wrapText="0"/>
    </xf>
    <xf borderId="12" fillId="7" fontId="1" numFmtId="165" xfId="0" applyAlignment="1" applyBorder="1" applyFill="1" applyFont="1" applyNumberFormat="1">
      <alignment horizontal="center" readingOrder="0" shrinkToFit="0" vertical="center" wrapText="0"/>
    </xf>
    <xf borderId="12" fillId="9" fontId="1" numFmtId="165" xfId="0" applyAlignment="1" applyBorder="1" applyFill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0" fillId="0" fontId="2" numFmtId="0" xfId="0" applyFont="1"/>
    <xf borderId="12" fillId="7" fontId="7" numFmtId="0" xfId="0" applyAlignment="1" applyBorder="1" applyFill="1" applyFont="1">
      <alignment horizontal="center" shrinkToFit="0" vertical="center" wrapText="0"/>
    </xf>
    <xf borderId="12" fillId="7" fontId="1" numFmtId="164" xfId="0" applyAlignment="1" applyBorder="1" applyFill="1" applyFont="1" applyNumberFormat="1">
      <alignment horizontal="center" readingOrder="0" shrinkToFit="0" vertical="center" wrapText="0"/>
    </xf>
    <xf borderId="12" fillId="9" fontId="10" numFmtId="164" xfId="0" applyAlignment="1" applyBorder="1" applyFill="1" applyFont="1" applyNumberFormat="1">
      <alignment horizontal="center" readingOrder="0" shrinkToFit="0" vertical="center" wrapText="0"/>
    </xf>
    <xf borderId="15" fillId="2" fontId="6" numFmtId="0" xfId="0" applyAlignment="1" applyBorder="1" applyFill="1" applyFont="1">
      <alignment horizontal="center" readingOrder="0" shrinkToFit="0" vertical="center" wrapText="0"/>
    </xf>
    <xf borderId="15" fillId="4" fontId="6" numFmtId="164" xfId="0" applyAlignment="1" applyBorder="1" applyFill="1" applyFont="1" applyNumberFormat="1">
      <alignment horizontal="center" readingOrder="0" shrinkToFit="0" vertical="center" wrapText="0"/>
    </xf>
    <xf borderId="15" fillId="2" fontId="6" numFmtId="164" xfId="0" applyAlignment="1" applyBorder="1" applyFill="1" applyFont="1" applyNumberFormat="1">
      <alignment horizontal="center" readingOrder="0" shrinkToFit="0" vertical="center" wrapText="0"/>
    </xf>
    <xf borderId="15" fillId="5" fontId="6" numFmtId="164" xfId="0" applyAlignment="1" applyBorder="1" applyFill="1" applyFont="1" applyNumberFormat="1">
      <alignment horizontal="center" readingOrder="0" shrinkToFit="0" vertical="center" wrapText="0"/>
    </xf>
    <xf borderId="7" fillId="4" fontId="6" numFmtId="164" xfId="0" applyAlignment="1" applyBorder="1" applyFill="1" applyFont="1" applyNumberFormat="1">
      <alignment horizontal="center" readingOrder="0" shrinkToFit="0" vertical="center" wrapText="0"/>
    </xf>
    <xf borderId="7" fillId="2" fontId="6" numFmtId="164" xfId="0" applyAlignment="1" applyBorder="1" applyFill="1" applyFont="1" applyNumberFormat="1">
      <alignment horizontal="center" readingOrder="0" shrinkToFit="0" vertical="center" wrapText="0"/>
    </xf>
    <xf borderId="8" fillId="5" fontId="6" numFmtId="164" xfId="0" applyAlignment="1" applyBorder="1" applyFill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5" fillId="4" fontId="1" numFmtId="0" xfId="0" applyAlignment="1" applyBorder="1" applyFill="1" applyFont="1">
      <alignment horizontal="center" readingOrder="0" shrinkToFit="0" vertical="center" wrapText="0"/>
    </xf>
    <xf borderId="0" fillId="2" fontId="8" numFmtId="0" xfId="0" applyAlignment="1" applyFill="1" applyFont="1">
      <alignment horizontal="center" readingOrder="0" shrinkToFit="0" vertical="center" wrapText="0"/>
    </xf>
    <xf borderId="0" fillId="8" fontId="1" numFmtId="165" xfId="0" applyAlignment="1" applyFill="1" applyFont="1" applyNumberFormat="1">
      <alignment horizontal="center" readingOrder="0" shrinkToFit="0" vertical="center" wrapText="0"/>
    </xf>
    <xf borderId="0" fillId="10" fontId="11" numFmtId="0" xfId="0" applyFill="1" applyFont="1"/>
    <xf borderId="1" fillId="11" fontId="12" numFmtId="0" xfId="0" applyAlignment="1" applyBorder="1" applyFill="1" applyFont="1">
      <alignment horizontal="center" readingOrder="0" vertical="center"/>
    </xf>
    <xf borderId="9" fillId="10" fontId="11" numFmtId="0" xfId="0" applyAlignment="1" applyBorder="1" applyFill="1" applyFont="1">
      <alignment horizontal="center" readingOrder="0" vertical="center"/>
    </xf>
    <xf borderId="14" fillId="10" fontId="11" numFmtId="0" xfId="0" applyAlignment="1" applyBorder="1" applyFill="1" applyFont="1">
      <alignment horizontal="center" readingOrder="0" vertical="center"/>
    </xf>
    <xf borderId="1" fillId="6" fontId="12" numFmtId="164" xfId="0" applyAlignment="1" applyBorder="1" applyFill="1" applyFont="1" applyNumberFormat="1">
      <alignment horizontal="center" vertical="center"/>
    </xf>
    <xf borderId="14" fillId="10" fontId="11" numFmtId="164" xfId="0" applyAlignment="1" applyBorder="1" applyFill="1" applyFont="1" applyNumberFormat="1">
      <alignment horizontal="center" vertical="center"/>
    </xf>
    <xf borderId="14" fillId="10" fontId="11" numFmtId="0" xfId="0" applyAlignment="1" applyBorder="1" applyFill="1" applyFont="1">
      <alignment horizontal="center" vertical="center"/>
    </xf>
    <xf borderId="14" fillId="10" fontId="11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'סיכום שנתי'!$E$8:$E$18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'סיכום שנתי'!$D$19</c:f>
            </c:strRef>
          </c:cat>
          <c:val>
            <c:numRef>
              <c:f>'סיכום שנתי'!$E$19</c:f>
              <c:numCache/>
            </c:numRef>
          </c:val>
        </c:ser>
        <c:ser>
          <c:idx val="1"/>
          <c:order val="1"/>
          <c:tx>
            <c:strRef>
              <c:f>'סיכום שנתי'!$F$8:$F$18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'סיכום שנתי'!$D$19</c:f>
            </c:strRef>
          </c:cat>
          <c:val>
            <c:numRef>
              <c:f>'סיכום שנתי'!$F$19</c:f>
              <c:numCache/>
            </c:numRef>
          </c:val>
        </c:ser>
        <c:ser>
          <c:idx val="2"/>
          <c:order val="2"/>
          <c:tx>
            <c:strRef>
              <c:f>'סיכום שנתי'!$G$8:$G$18</c:f>
            </c:strRef>
          </c:tx>
          <c:cat>
            <c:strRef>
              <c:f>'סיכום שנתי'!$D$19</c:f>
            </c:strRef>
          </c:cat>
          <c:val>
            <c:numRef>
              <c:f>'סיכום שנתי'!$G$19</c:f>
              <c:numCache/>
            </c:numRef>
          </c:val>
        </c:ser>
        <c:axId val="1163704416"/>
        <c:axId val="1375329550"/>
      </c:barChart>
      <c:catAx>
        <c:axId val="116370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329550"/>
      </c:catAx>
      <c:valAx>
        <c:axId val="1375329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704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0</xdr:rowOff>
    </xdr:from>
    <xdr:ext cx="10563225" cy="46672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K5" s="2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27">
        <f t="shared" ref="L7:M7" si="1">sum(C40,H40)</f>
        <v>7957</v>
      </c>
      <c r="M7" s="28">
        <f t="shared" si="1"/>
        <v>14042</v>
      </c>
      <c r="N7" s="29">
        <f>L7-M7</f>
        <v>-6085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1" si="2">C9-D9</f>
        <v>0</v>
      </c>
      <c r="F9" s="1"/>
      <c r="G9" s="34" t="s">
        <v>10</v>
      </c>
      <c r="H9" s="35">
        <v>130.0</v>
      </c>
      <c r="I9" s="35">
        <v>0.0</v>
      </c>
      <c r="J9" s="35">
        <f t="shared" ref="J9:J12" si="3">H9-I9</f>
        <v>130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0.0</v>
      </c>
      <c r="D10" s="33">
        <v>0.0</v>
      </c>
      <c r="E10" s="33">
        <f t="shared" si="2"/>
        <v>0</v>
      </c>
      <c r="F10" s="1"/>
      <c r="G10" s="32" t="s">
        <v>12</v>
      </c>
      <c r="H10" s="36">
        <v>0.0</v>
      </c>
      <c r="I10" s="35">
        <v>0.0</v>
      </c>
      <c r="J10" s="35">
        <f t="shared" si="3"/>
        <v>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13</v>
      </c>
      <c r="C11" s="33">
        <v>0.0</v>
      </c>
      <c r="D11" s="33">
        <v>0.0</v>
      </c>
      <c r="E11" s="33">
        <f t="shared" si="2"/>
        <v>0</v>
      </c>
      <c r="F11" s="1"/>
      <c r="G11" s="32" t="s">
        <v>14</v>
      </c>
      <c r="H11" s="36">
        <v>0.0</v>
      </c>
      <c r="I11" s="35">
        <v>0.0</v>
      </c>
      <c r="J11" s="35">
        <f t="shared" si="3"/>
        <v>0</v>
      </c>
      <c r="K11" s="2"/>
      <c r="L11" s="38" t="s">
        <v>15</v>
      </c>
      <c r="M11" s="5"/>
      <c r="N11" s="39">
        <v>13236.0</v>
      </c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40" t="s">
        <v>16</v>
      </c>
      <c r="C12" s="41">
        <f t="shared" ref="C12:E12" si="4">sum(C9:C11)</f>
        <v>2500</v>
      </c>
      <c r="D12" s="41">
        <f t="shared" si="4"/>
        <v>2500</v>
      </c>
      <c r="E12" s="41">
        <f t="shared" si="4"/>
        <v>0</v>
      </c>
      <c r="F12" s="1"/>
      <c r="G12" s="32" t="s">
        <v>17</v>
      </c>
      <c r="H12" s="36">
        <v>0.0</v>
      </c>
      <c r="I12" s="35">
        <v>0.0</v>
      </c>
      <c r="J12" s="35">
        <f t="shared" si="3"/>
        <v>0</v>
      </c>
      <c r="K12" s="2"/>
      <c r="L12" s="6"/>
      <c r="M12" s="7"/>
      <c r="N12" s="4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30" t="s">
        <v>18</v>
      </c>
      <c r="C13" s="13"/>
      <c r="D13" s="13"/>
      <c r="E13" s="14"/>
      <c r="F13" s="1"/>
      <c r="G13" s="40" t="s">
        <v>16</v>
      </c>
      <c r="H13" s="43">
        <f t="shared" ref="H13:J13" si="5">sum(H9:H12)</f>
        <v>130</v>
      </c>
      <c r="I13" s="43">
        <f t="shared" si="5"/>
        <v>0</v>
      </c>
      <c r="J13" s="43">
        <f t="shared" si="5"/>
        <v>130</v>
      </c>
      <c r="K13" s="2"/>
      <c r="L13" s="9"/>
      <c r="M13" s="11"/>
      <c r="N13" s="3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2" t="s">
        <v>19</v>
      </c>
      <c r="C14" s="44">
        <v>0.0</v>
      </c>
      <c r="D14" s="33">
        <v>244.0</v>
      </c>
      <c r="E14" s="33">
        <f t="shared" ref="E14:E38" si="6">C14-D14</f>
        <v>-244</v>
      </c>
      <c r="F14" s="1"/>
      <c r="G14" s="30" t="s">
        <v>18</v>
      </c>
      <c r="H14" s="13"/>
      <c r="I14" s="13"/>
      <c r="J14" s="14"/>
      <c r="K14" s="2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20</v>
      </c>
      <c r="C15" s="44">
        <v>0.0</v>
      </c>
      <c r="D15" s="33">
        <v>0.0</v>
      </c>
      <c r="E15" s="33">
        <f t="shared" si="6"/>
        <v>0</v>
      </c>
      <c r="F15" s="1"/>
      <c r="G15" s="32" t="s">
        <v>21</v>
      </c>
      <c r="H15" s="45">
        <v>1400.0</v>
      </c>
      <c r="I15" s="45">
        <v>1401.0</v>
      </c>
      <c r="J15" s="45">
        <f t="shared" ref="J15:J19" si="7">H15-I15</f>
        <v>-1</v>
      </c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22</v>
      </c>
      <c r="C16" s="44">
        <v>0.0</v>
      </c>
      <c r="D16" s="33">
        <v>0.0</v>
      </c>
      <c r="E16" s="33">
        <f t="shared" si="6"/>
        <v>0</v>
      </c>
      <c r="F16" s="1"/>
      <c r="G16" s="32" t="s">
        <v>23</v>
      </c>
      <c r="H16" s="45">
        <v>200.0</v>
      </c>
      <c r="I16" s="45">
        <v>232.0</v>
      </c>
      <c r="J16" s="45">
        <f t="shared" si="7"/>
        <v>-32</v>
      </c>
      <c r="K16" s="2"/>
      <c r="L16" s="38" t="s">
        <v>24</v>
      </c>
      <c r="M16" s="5"/>
      <c r="N16" s="39">
        <f>N11-L7</f>
        <v>5279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25</v>
      </c>
      <c r="C17" s="44">
        <v>26.0</v>
      </c>
      <c r="D17" s="33">
        <v>0.0</v>
      </c>
      <c r="E17" s="33">
        <f t="shared" si="6"/>
        <v>26</v>
      </c>
      <c r="F17" s="1"/>
      <c r="G17" s="32" t="s">
        <v>26</v>
      </c>
      <c r="H17" s="45">
        <v>150.0</v>
      </c>
      <c r="I17" s="45">
        <v>0.0</v>
      </c>
      <c r="J17" s="45">
        <f t="shared" si="7"/>
        <v>150</v>
      </c>
      <c r="K17" s="2"/>
      <c r="L17" s="6"/>
      <c r="M17" s="7"/>
      <c r="N17" s="4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27</v>
      </c>
      <c r="C18" s="44">
        <v>0.0</v>
      </c>
      <c r="D18" s="33">
        <v>0.0</v>
      </c>
      <c r="E18" s="33">
        <f t="shared" si="6"/>
        <v>0</v>
      </c>
      <c r="F18" s="1"/>
      <c r="G18" s="32" t="s">
        <v>28</v>
      </c>
      <c r="H18" s="45">
        <v>0.0</v>
      </c>
      <c r="I18" s="45">
        <v>0.0</v>
      </c>
      <c r="J18" s="45">
        <f t="shared" si="7"/>
        <v>0</v>
      </c>
      <c r="K18" s="2"/>
      <c r="L18" s="9"/>
      <c r="M18" s="11"/>
      <c r="N18" s="3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29</v>
      </c>
      <c r="C19" s="44">
        <v>141.0</v>
      </c>
      <c r="D19" s="33">
        <v>141.0</v>
      </c>
      <c r="E19" s="33">
        <f t="shared" si="6"/>
        <v>0</v>
      </c>
      <c r="F19" s="1"/>
      <c r="G19" s="32" t="s">
        <v>30</v>
      </c>
      <c r="H19" s="45">
        <v>150.0</v>
      </c>
      <c r="I19" s="45">
        <v>502.0</v>
      </c>
      <c r="J19" s="45">
        <f t="shared" si="7"/>
        <v>-352</v>
      </c>
      <c r="K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31</v>
      </c>
      <c r="C20" s="44">
        <v>0.0</v>
      </c>
      <c r="D20" s="33">
        <v>0.0</v>
      </c>
      <c r="E20" s="33">
        <f t="shared" si="6"/>
        <v>0</v>
      </c>
      <c r="F20" s="1"/>
      <c r="G20" s="40" t="s">
        <v>32</v>
      </c>
      <c r="H20" s="46">
        <f t="shared" ref="H20:J20" si="8">sum(H15:H19)</f>
        <v>1900</v>
      </c>
      <c r="I20" s="46">
        <f t="shared" si="8"/>
        <v>2135</v>
      </c>
      <c r="J20" s="46">
        <f t="shared" si="8"/>
        <v>-235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33</v>
      </c>
      <c r="C21" s="44">
        <v>0.0</v>
      </c>
      <c r="D21" s="33">
        <v>0.0</v>
      </c>
      <c r="E21" s="33">
        <f t="shared" si="6"/>
        <v>0</v>
      </c>
      <c r="F21" s="1"/>
      <c r="G21" s="30" t="s">
        <v>34</v>
      </c>
      <c r="H21" s="13"/>
      <c r="I21" s="13"/>
      <c r="J21" s="14"/>
      <c r="K21" s="2"/>
      <c r="L21" s="38" t="s">
        <v>35</v>
      </c>
      <c r="M21" s="5"/>
      <c r="N21" s="39">
        <f>N11-M7</f>
        <v>-806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36</v>
      </c>
      <c r="C22" s="44">
        <v>0.0</v>
      </c>
      <c r="D22" s="33">
        <v>0.0</v>
      </c>
      <c r="E22" s="33">
        <f t="shared" si="6"/>
        <v>0</v>
      </c>
      <c r="F22" s="1"/>
      <c r="G22" s="32" t="s">
        <v>37</v>
      </c>
      <c r="H22" s="45">
        <v>600.0</v>
      </c>
      <c r="I22" s="45">
        <v>222.0</v>
      </c>
      <c r="J22" s="45">
        <f t="shared" ref="J22:J25" si="9">H22-I22</f>
        <v>378</v>
      </c>
      <c r="K22" s="2"/>
      <c r="L22" s="6"/>
      <c r="M22" s="7"/>
      <c r="N22" s="4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38</v>
      </c>
      <c r="C23" s="44">
        <v>0.0</v>
      </c>
      <c r="D23" s="33">
        <v>0.0</v>
      </c>
      <c r="E23" s="33">
        <f t="shared" si="6"/>
        <v>0</v>
      </c>
      <c r="F23" s="1"/>
      <c r="G23" s="32" t="s">
        <v>39</v>
      </c>
      <c r="H23" s="45">
        <v>150.0</v>
      </c>
      <c r="I23" s="45">
        <v>0.0</v>
      </c>
      <c r="J23" s="45">
        <f t="shared" si="9"/>
        <v>150</v>
      </c>
      <c r="K23" s="2"/>
      <c r="L23" s="9"/>
      <c r="M23" s="11"/>
      <c r="N23" s="3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40</v>
      </c>
      <c r="C24" s="44">
        <v>0.0</v>
      </c>
      <c r="D24" s="33">
        <v>0.0</v>
      </c>
      <c r="E24" s="33">
        <f t="shared" si="6"/>
        <v>0</v>
      </c>
      <c r="F24" s="1"/>
      <c r="G24" s="32" t="s">
        <v>41</v>
      </c>
      <c r="H24" s="45">
        <v>0.0</v>
      </c>
      <c r="I24" s="45">
        <v>0.0</v>
      </c>
      <c r="J24" s="45">
        <f t="shared" si="9"/>
        <v>0</v>
      </c>
      <c r="K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42</v>
      </c>
      <c r="C25" s="44">
        <v>0.0</v>
      </c>
      <c r="D25" s="33">
        <v>0.0</v>
      </c>
      <c r="E25" s="33">
        <f t="shared" si="6"/>
        <v>0</v>
      </c>
      <c r="F25" s="1"/>
      <c r="G25" s="32" t="s">
        <v>43</v>
      </c>
      <c r="H25" s="45">
        <v>0.0</v>
      </c>
      <c r="I25" s="45">
        <v>0.0</v>
      </c>
      <c r="J25" s="45">
        <f t="shared" si="9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44</v>
      </c>
      <c r="C26" s="44">
        <v>0.0</v>
      </c>
      <c r="D26" s="33">
        <v>0.0</v>
      </c>
      <c r="E26" s="33">
        <f t="shared" si="6"/>
        <v>0</v>
      </c>
      <c r="F26" s="1"/>
      <c r="G26" s="40" t="s">
        <v>45</v>
      </c>
      <c r="H26" s="46">
        <f t="shared" ref="H26:J26" si="10">sum(H22:H25)</f>
        <v>750</v>
      </c>
      <c r="I26" s="46">
        <f t="shared" si="10"/>
        <v>222</v>
      </c>
      <c r="J26" s="46">
        <f t="shared" si="10"/>
        <v>528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32" t="s">
        <v>46</v>
      </c>
      <c r="C27" s="44">
        <f>210</f>
        <v>210</v>
      </c>
      <c r="D27" s="33">
        <v>254.0</v>
      </c>
      <c r="E27" s="33">
        <f t="shared" si="6"/>
        <v>-44</v>
      </c>
      <c r="F27" s="1"/>
      <c r="G27" s="30" t="s">
        <v>47</v>
      </c>
      <c r="H27" s="13"/>
      <c r="I27" s="13"/>
      <c r="J27" s="14"/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/>
      <c r="C28" s="44">
        <v>0.0</v>
      </c>
      <c r="D28" s="33">
        <v>0.0</v>
      </c>
      <c r="E28" s="33">
        <f t="shared" si="6"/>
        <v>0</v>
      </c>
      <c r="F28" s="1"/>
      <c r="G28" s="32" t="s">
        <v>48</v>
      </c>
      <c r="H28" s="45">
        <v>0.0</v>
      </c>
      <c r="I28" s="45">
        <v>0.0</v>
      </c>
      <c r="J28" s="45">
        <f t="shared" ref="J28:J32" si="11">H28-I28</f>
        <v>0</v>
      </c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/>
      <c r="C29" s="44">
        <v>0.0</v>
      </c>
      <c r="D29" s="33">
        <v>0.0</v>
      </c>
      <c r="E29" s="33">
        <f t="shared" si="6"/>
        <v>0</v>
      </c>
      <c r="F29" s="1"/>
      <c r="G29" s="32" t="s">
        <v>50</v>
      </c>
      <c r="H29" s="45">
        <v>0.0</v>
      </c>
      <c r="I29" s="45">
        <v>0.0</v>
      </c>
      <c r="J29" s="45">
        <f t="shared" si="11"/>
        <v>0</v>
      </c>
      <c r="K29" s="2"/>
      <c r="L29" s="48"/>
      <c r="M29" s="48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/>
      <c r="C30" s="44">
        <v>0.0</v>
      </c>
      <c r="D30" s="33">
        <v>0.0</v>
      </c>
      <c r="E30" s="33">
        <f t="shared" si="6"/>
        <v>0</v>
      </c>
      <c r="F30" s="1"/>
      <c r="G30" s="32" t="s">
        <v>51</v>
      </c>
      <c r="H30" s="45">
        <v>0.0</v>
      </c>
      <c r="I30" s="45">
        <v>0.0</v>
      </c>
      <c r="J30" s="45">
        <f t="shared" si="11"/>
        <v>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/>
      <c r="C31" s="44">
        <v>0.0</v>
      </c>
      <c r="D31" s="33">
        <v>0.0</v>
      </c>
      <c r="E31" s="33">
        <f t="shared" si="6"/>
        <v>0</v>
      </c>
      <c r="F31" s="1"/>
      <c r="G31" s="32" t="s">
        <v>52</v>
      </c>
      <c r="H31" s="45">
        <v>0.0</v>
      </c>
      <c r="I31" s="45">
        <v>0.0</v>
      </c>
      <c r="J31" s="45">
        <f t="shared" si="11"/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/>
      <c r="C32" s="44">
        <v>0.0</v>
      </c>
      <c r="D32" s="33">
        <v>0.0</v>
      </c>
      <c r="E32" s="33">
        <f t="shared" si="6"/>
        <v>0</v>
      </c>
      <c r="F32" s="1"/>
      <c r="G32" s="32" t="s">
        <v>53</v>
      </c>
      <c r="H32" s="45">
        <v>0.0</v>
      </c>
      <c r="I32" s="45">
        <v>0.0</v>
      </c>
      <c r="J32" s="45">
        <f t="shared" si="11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6"/>
        <v>0</v>
      </c>
      <c r="F33" s="1"/>
      <c r="G33" s="40" t="s">
        <v>54</v>
      </c>
      <c r="H33" s="46">
        <f t="shared" ref="H33:J33" si="12">sum(H28:H32)</f>
        <v>0</v>
      </c>
      <c r="I33" s="46">
        <f t="shared" si="12"/>
        <v>0</v>
      </c>
      <c r="J33" s="46">
        <f t="shared" si="12"/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6"/>
        <v>0</v>
      </c>
      <c r="F34" s="1"/>
      <c r="G34" s="30" t="s">
        <v>55</v>
      </c>
      <c r="H34" s="13"/>
      <c r="I34" s="13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6"/>
        <v>0</v>
      </c>
      <c r="F35" s="1"/>
      <c r="G35" s="32" t="s">
        <v>56</v>
      </c>
      <c r="H35" s="36">
        <v>0.0</v>
      </c>
      <c r="I35" s="45">
        <v>0.0</v>
      </c>
      <c r="J35" s="45">
        <f t="shared" ref="J35:J38" si="13">H35-I35</f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49"/>
      <c r="C36" s="44">
        <v>0.0</v>
      </c>
      <c r="D36" s="33">
        <v>0.0</v>
      </c>
      <c r="E36" s="33">
        <f t="shared" si="6"/>
        <v>0</v>
      </c>
      <c r="F36" s="1"/>
      <c r="G36" s="32" t="s">
        <v>57</v>
      </c>
      <c r="H36" s="50">
        <v>2300.0</v>
      </c>
      <c r="I36" s="45">
        <v>2785.0</v>
      </c>
      <c r="J36" s="45">
        <f t="shared" si="13"/>
        <v>-485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6"/>
        <v>0</v>
      </c>
      <c r="F37" s="1"/>
      <c r="G37" s="32" t="s">
        <v>58</v>
      </c>
      <c r="H37" s="50">
        <v>0.0</v>
      </c>
      <c r="I37" s="45">
        <v>5600.0</v>
      </c>
      <c r="J37" s="45">
        <f t="shared" si="13"/>
        <v>-5600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6"/>
        <v>0</v>
      </c>
      <c r="F38" s="1"/>
      <c r="G38" s="32" t="s">
        <v>59</v>
      </c>
      <c r="H38" s="50">
        <v>0.0</v>
      </c>
      <c r="I38" s="45">
        <v>161.0</v>
      </c>
      <c r="J38" s="45">
        <f t="shared" si="13"/>
        <v>-161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0" t="s">
        <v>32</v>
      </c>
      <c r="C39" s="51">
        <f t="shared" ref="C39:E39" si="14">sum(C14:C38)</f>
        <v>377</v>
      </c>
      <c r="D39" s="41">
        <f t="shared" si="14"/>
        <v>639</v>
      </c>
      <c r="E39" s="41">
        <f t="shared" si="14"/>
        <v>-262</v>
      </c>
      <c r="F39" s="1"/>
      <c r="G39" s="40" t="s">
        <v>60</v>
      </c>
      <c r="H39" s="43">
        <f t="shared" ref="H39:J39" si="15">sum(H35:H38)</f>
        <v>2300</v>
      </c>
      <c r="I39" s="46">
        <f t="shared" si="15"/>
        <v>8546</v>
      </c>
      <c r="J39" s="46">
        <f t="shared" si="15"/>
        <v>-6246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57.75" customHeight="1">
      <c r="A40" s="20"/>
      <c r="B40" s="52" t="s">
        <v>61</v>
      </c>
      <c r="C40" s="53">
        <f t="shared" ref="C40:E40" si="16">sum(C12,C39)</f>
        <v>2877</v>
      </c>
      <c r="D40" s="54">
        <f t="shared" si="16"/>
        <v>3139</v>
      </c>
      <c r="E40" s="55">
        <f t="shared" si="16"/>
        <v>-262</v>
      </c>
      <c r="F40" s="1"/>
      <c r="G40" s="18" t="s">
        <v>62</v>
      </c>
      <c r="H40" s="56">
        <f t="shared" ref="H40:J40" si="17">sum(H13,H20,H26,H33,H39)</f>
        <v>5080</v>
      </c>
      <c r="I40" s="57">
        <f t="shared" si="17"/>
        <v>10903</v>
      </c>
      <c r="J40" s="58">
        <f t="shared" si="17"/>
        <v>-5823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59"/>
      <c r="C41" s="59"/>
      <c r="D41" s="59"/>
      <c r="E41" s="59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60"/>
      <c r="H50" s="60"/>
      <c r="I50" s="60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15"/>
      <c r="H51" s="15"/>
      <c r="I51" s="15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61"/>
      <c r="H52" s="61"/>
      <c r="I52" s="6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62"/>
      <c r="H56" s="62"/>
      <c r="I56" s="6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62"/>
      <c r="C58" s="62"/>
      <c r="D58" s="61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62"/>
      <c r="H61" s="62"/>
      <c r="I61" s="6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4:J14"/>
    <mergeCell ref="G21:J21"/>
    <mergeCell ref="L21:M23"/>
    <mergeCell ref="N21:N23"/>
    <mergeCell ref="G27:J27"/>
    <mergeCell ref="G34:J34"/>
    <mergeCell ref="B8:E8"/>
    <mergeCell ref="G8:J8"/>
    <mergeCell ref="L11:M13"/>
    <mergeCell ref="N11:N13"/>
    <mergeCell ref="B13:E13"/>
    <mergeCell ref="L16:M18"/>
    <mergeCell ref="N16:N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K5" s="2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27">
        <f t="shared" ref="L7:M7" si="1">sum(C40,H40)</f>
        <v>10755</v>
      </c>
      <c r="M7" s="28">
        <f t="shared" si="1"/>
        <v>9913.5</v>
      </c>
      <c r="N7" s="29">
        <f>L7-M7</f>
        <v>841.5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1" si="2">C9-D9</f>
        <v>0</v>
      </c>
      <c r="F9" s="1"/>
      <c r="G9" s="34" t="s">
        <v>10</v>
      </c>
      <c r="H9" s="35">
        <v>130.0</v>
      </c>
      <c r="I9" s="35">
        <v>160.0</v>
      </c>
      <c r="J9" s="35">
        <f t="shared" ref="J9:J12" si="3">H9-I9</f>
        <v>-30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0.0</v>
      </c>
      <c r="D10" s="33">
        <v>0.0</v>
      </c>
      <c r="E10" s="33">
        <f t="shared" si="2"/>
        <v>0</v>
      </c>
      <c r="F10" s="1"/>
      <c r="G10" s="32" t="s">
        <v>12</v>
      </c>
      <c r="H10" s="36">
        <v>120.0</v>
      </c>
      <c r="I10" s="35">
        <v>108.0</v>
      </c>
      <c r="J10" s="35">
        <f t="shared" si="3"/>
        <v>12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13</v>
      </c>
      <c r="C11" s="33">
        <v>0.0</v>
      </c>
      <c r="D11" s="33">
        <v>0.0</v>
      </c>
      <c r="E11" s="33">
        <f t="shared" si="2"/>
        <v>0</v>
      </c>
      <c r="F11" s="1"/>
      <c r="G11" s="32" t="s">
        <v>14</v>
      </c>
      <c r="H11" s="36">
        <v>60.0</v>
      </c>
      <c r="I11" s="35">
        <v>30.0</v>
      </c>
      <c r="J11" s="35">
        <f t="shared" si="3"/>
        <v>30</v>
      </c>
      <c r="K11" s="2"/>
      <c r="L11" s="38" t="s">
        <v>15</v>
      </c>
      <c r="M11" s="5"/>
      <c r="N11" s="39">
        <v>18805.0</v>
      </c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40" t="s">
        <v>16</v>
      </c>
      <c r="C12" s="41">
        <f t="shared" ref="C12:E12" si="4">sum(C9:C11)</f>
        <v>2500</v>
      </c>
      <c r="D12" s="41">
        <f t="shared" si="4"/>
        <v>2500</v>
      </c>
      <c r="E12" s="41">
        <f t="shared" si="4"/>
        <v>0</v>
      </c>
      <c r="F12" s="1"/>
      <c r="G12" s="32" t="s">
        <v>17</v>
      </c>
      <c r="H12" s="36">
        <v>400.0</v>
      </c>
      <c r="I12" s="35">
        <v>162.0</v>
      </c>
      <c r="J12" s="35">
        <f t="shared" si="3"/>
        <v>238</v>
      </c>
      <c r="K12" s="2"/>
      <c r="L12" s="6"/>
      <c r="M12" s="7"/>
      <c r="N12" s="4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30" t="s">
        <v>18</v>
      </c>
      <c r="C13" s="13"/>
      <c r="D13" s="13"/>
      <c r="E13" s="14"/>
      <c r="F13" s="1"/>
      <c r="G13" s="40" t="s">
        <v>16</v>
      </c>
      <c r="H13" s="43">
        <f t="shared" ref="H13:J13" si="5">sum(H9:H12)</f>
        <v>710</v>
      </c>
      <c r="I13" s="43">
        <f t="shared" si="5"/>
        <v>460</v>
      </c>
      <c r="J13" s="43">
        <f t="shared" si="5"/>
        <v>250</v>
      </c>
      <c r="K13" s="2"/>
      <c r="L13" s="9"/>
      <c r="M13" s="11"/>
      <c r="N13" s="3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2" t="s">
        <v>19</v>
      </c>
      <c r="C14" s="44">
        <v>0.0</v>
      </c>
      <c r="D14" s="33">
        <v>0.0</v>
      </c>
      <c r="E14" s="33">
        <f t="shared" ref="E14:E38" si="6">C14-D14</f>
        <v>0</v>
      </c>
      <c r="F14" s="1"/>
      <c r="G14" s="30" t="s">
        <v>18</v>
      </c>
      <c r="H14" s="13"/>
      <c r="I14" s="13"/>
      <c r="J14" s="14"/>
      <c r="K14" s="2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20</v>
      </c>
      <c r="C15" s="44">
        <v>0.0</v>
      </c>
      <c r="D15" s="33">
        <v>0.0</v>
      </c>
      <c r="E15" s="33">
        <f t="shared" si="6"/>
        <v>0</v>
      </c>
      <c r="F15" s="1"/>
      <c r="G15" s="32" t="s">
        <v>21</v>
      </c>
      <c r="H15" s="45">
        <v>1400.0</v>
      </c>
      <c r="I15" s="45">
        <v>932.0</v>
      </c>
      <c r="J15" s="45">
        <f t="shared" ref="J15:J19" si="7">H15-I15</f>
        <v>468</v>
      </c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22</v>
      </c>
      <c r="C16" s="44">
        <v>0.0</v>
      </c>
      <c r="D16" s="33">
        <v>0.0</v>
      </c>
      <c r="E16" s="33">
        <f t="shared" si="6"/>
        <v>0</v>
      </c>
      <c r="F16" s="1"/>
      <c r="G16" s="32" t="s">
        <v>23</v>
      </c>
      <c r="H16" s="45">
        <v>700.0</v>
      </c>
      <c r="I16" s="45">
        <v>780.0</v>
      </c>
      <c r="J16" s="45">
        <f t="shared" si="7"/>
        <v>-80</v>
      </c>
      <c r="K16" s="2"/>
      <c r="L16" s="38" t="s">
        <v>24</v>
      </c>
      <c r="M16" s="5"/>
      <c r="N16" s="39">
        <f>N11-L7</f>
        <v>8050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25</v>
      </c>
      <c r="C17" s="44">
        <v>13.0</v>
      </c>
      <c r="D17" s="33">
        <v>13.0</v>
      </c>
      <c r="E17" s="33">
        <f t="shared" si="6"/>
        <v>0</v>
      </c>
      <c r="F17" s="1"/>
      <c r="G17" s="32" t="s">
        <v>26</v>
      </c>
      <c r="H17" s="45">
        <v>300.0</v>
      </c>
      <c r="I17" s="45">
        <v>155.0</v>
      </c>
      <c r="J17" s="45">
        <f t="shared" si="7"/>
        <v>145</v>
      </c>
      <c r="K17" s="2"/>
      <c r="L17" s="6"/>
      <c r="M17" s="7"/>
      <c r="N17" s="4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27</v>
      </c>
      <c r="C18" s="44">
        <v>0.0</v>
      </c>
      <c r="D18" s="33">
        <v>0.0</v>
      </c>
      <c r="E18" s="33">
        <f t="shared" si="6"/>
        <v>0</v>
      </c>
      <c r="F18" s="1"/>
      <c r="G18" s="32" t="s">
        <v>28</v>
      </c>
      <c r="H18" s="45">
        <v>0.0</v>
      </c>
      <c r="I18" s="45">
        <v>0.0</v>
      </c>
      <c r="J18" s="45">
        <f t="shared" si="7"/>
        <v>0</v>
      </c>
      <c r="K18" s="2"/>
      <c r="L18" s="9"/>
      <c r="M18" s="11"/>
      <c r="N18" s="3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29</v>
      </c>
      <c r="C19" s="44">
        <v>141.0</v>
      </c>
      <c r="D19" s="33">
        <v>120.0</v>
      </c>
      <c r="E19" s="33">
        <f t="shared" si="6"/>
        <v>21</v>
      </c>
      <c r="F19" s="1"/>
      <c r="G19" s="32" t="s">
        <v>30</v>
      </c>
      <c r="H19" s="45">
        <v>0.0</v>
      </c>
      <c r="I19" s="45"/>
      <c r="J19" s="45">
        <f t="shared" si="7"/>
        <v>0</v>
      </c>
      <c r="K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31</v>
      </c>
      <c r="C20" s="44">
        <v>0.0</v>
      </c>
      <c r="D20" s="33">
        <v>0.0</v>
      </c>
      <c r="E20" s="33">
        <f t="shared" si="6"/>
        <v>0</v>
      </c>
      <c r="F20" s="1"/>
      <c r="G20" s="40" t="s">
        <v>32</v>
      </c>
      <c r="H20" s="46">
        <f t="shared" ref="H20:J20" si="8">sum(H15:H19)</f>
        <v>2400</v>
      </c>
      <c r="I20" s="46">
        <f t="shared" si="8"/>
        <v>1867</v>
      </c>
      <c r="J20" s="46">
        <f t="shared" si="8"/>
        <v>533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33</v>
      </c>
      <c r="C21" s="44">
        <v>0.0</v>
      </c>
      <c r="D21" s="33">
        <v>0.0</v>
      </c>
      <c r="E21" s="33">
        <f t="shared" si="6"/>
        <v>0</v>
      </c>
      <c r="F21" s="1"/>
      <c r="G21" s="30" t="s">
        <v>34</v>
      </c>
      <c r="H21" s="13"/>
      <c r="I21" s="13"/>
      <c r="J21" s="14"/>
      <c r="K21" s="2"/>
      <c r="L21" s="38" t="s">
        <v>35</v>
      </c>
      <c r="M21" s="5"/>
      <c r="N21" s="39">
        <f>N11-M7</f>
        <v>8891.5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36</v>
      </c>
      <c r="C22" s="44">
        <v>0.0</v>
      </c>
      <c r="D22" s="33">
        <v>0.0</v>
      </c>
      <c r="E22" s="33">
        <f t="shared" si="6"/>
        <v>0</v>
      </c>
      <c r="F22" s="1"/>
      <c r="G22" s="32" t="s">
        <v>37</v>
      </c>
      <c r="H22" s="45">
        <v>200.0</v>
      </c>
      <c r="I22" s="45">
        <v>369.5</v>
      </c>
      <c r="J22" s="45">
        <f t="shared" ref="J22:J25" si="9">H22-I22</f>
        <v>-169.5</v>
      </c>
      <c r="K22" s="2"/>
      <c r="L22" s="6"/>
      <c r="M22" s="7"/>
      <c r="N22" s="4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38</v>
      </c>
      <c r="C23" s="44">
        <v>0.0</v>
      </c>
      <c r="D23" s="33">
        <v>0.0</v>
      </c>
      <c r="E23" s="33">
        <f t="shared" si="6"/>
        <v>0</v>
      </c>
      <c r="F23" s="1"/>
      <c r="G23" s="32" t="s">
        <v>39</v>
      </c>
      <c r="H23" s="45">
        <v>0.0</v>
      </c>
      <c r="I23" s="45">
        <v>0.0</v>
      </c>
      <c r="J23" s="45">
        <f t="shared" si="9"/>
        <v>0</v>
      </c>
      <c r="K23" s="2"/>
      <c r="L23" s="9"/>
      <c r="M23" s="11"/>
      <c r="N23" s="3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40</v>
      </c>
      <c r="C24" s="44">
        <v>0.0</v>
      </c>
      <c r="D24" s="33">
        <v>0.0</v>
      </c>
      <c r="E24" s="33">
        <f t="shared" si="6"/>
        <v>0</v>
      </c>
      <c r="F24" s="1"/>
      <c r="G24" s="32" t="s">
        <v>41</v>
      </c>
      <c r="H24" s="45">
        <v>0.0</v>
      </c>
      <c r="I24" s="45">
        <v>0.0</v>
      </c>
      <c r="J24" s="45">
        <f t="shared" si="9"/>
        <v>0</v>
      </c>
      <c r="K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42</v>
      </c>
      <c r="C25" s="44">
        <v>0.0</v>
      </c>
      <c r="D25" s="33">
        <v>0.0</v>
      </c>
      <c r="E25" s="33">
        <f t="shared" si="6"/>
        <v>0</v>
      </c>
      <c r="F25" s="1"/>
      <c r="G25" s="32" t="s">
        <v>43</v>
      </c>
      <c r="H25" s="45">
        <v>0.0</v>
      </c>
      <c r="I25" s="45">
        <v>42.0</v>
      </c>
      <c r="J25" s="45">
        <f t="shared" si="9"/>
        <v>-42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44</v>
      </c>
      <c r="C26" s="44">
        <v>0.0</v>
      </c>
      <c r="D26" s="33">
        <v>0.0</v>
      </c>
      <c r="E26" s="33">
        <f t="shared" si="6"/>
        <v>0</v>
      </c>
      <c r="F26" s="1"/>
      <c r="G26" s="40" t="s">
        <v>45</v>
      </c>
      <c r="H26" s="46">
        <f t="shared" ref="H26:J26" si="10">sum(H22:H25)</f>
        <v>200</v>
      </c>
      <c r="I26" s="46">
        <f t="shared" si="10"/>
        <v>411.5</v>
      </c>
      <c r="J26" s="46">
        <f t="shared" si="10"/>
        <v>-211.5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32" t="s">
        <v>46</v>
      </c>
      <c r="C27" s="44">
        <f>210</f>
        <v>210</v>
      </c>
      <c r="D27" s="33">
        <v>272.0</v>
      </c>
      <c r="E27" s="33">
        <f t="shared" si="6"/>
        <v>-62</v>
      </c>
      <c r="F27" s="1"/>
      <c r="G27" s="30" t="s">
        <v>47</v>
      </c>
      <c r="H27" s="13"/>
      <c r="I27" s="13"/>
      <c r="J27" s="14"/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49</v>
      </c>
      <c r="C28" s="44">
        <v>1881.0</v>
      </c>
      <c r="D28" s="33">
        <v>1821.0</v>
      </c>
      <c r="E28" s="33">
        <f t="shared" si="6"/>
        <v>60</v>
      </c>
      <c r="F28" s="1"/>
      <c r="G28" s="32" t="s">
        <v>48</v>
      </c>
      <c r="H28" s="45">
        <v>0.0</v>
      </c>
      <c r="I28" s="45">
        <v>0.0</v>
      </c>
      <c r="J28" s="45">
        <f t="shared" ref="J28:J32" si="11">H28-I28</f>
        <v>0</v>
      </c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/>
      <c r="C29" s="44">
        <v>0.0</v>
      </c>
      <c r="D29" s="33">
        <v>0.0</v>
      </c>
      <c r="E29" s="33">
        <f t="shared" si="6"/>
        <v>0</v>
      </c>
      <c r="F29" s="1"/>
      <c r="G29" s="32" t="s">
        <v>50</v>
      </c>
      <c r="H29" s="45">
        <v>0.0</v>
      </c>
      <c r="I29" s="45">
        <v>0.0</v>
      </c>
      <c r="J29" s="45">
        <f t="shared" si="11"/>
        <v>0</v>
      </c>
      <c r="K29" s="2"/>
      <c r="L29" s="48"/>
      <c r="M29" s="48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/>
      <c r="C30" s="44">
        <v>0.0</v>
      </c>
      <c r="D30" s="33">
        <v>0.0</v>
      </c>
      <c r="E30" s="33">
        <f t="shared" si="6"/>
        <v>0</v>
      </c>
      <c r="F30" s="1"/>
      <c r="G30" s="32" t="s">
        <v>51</v>
      </c>
      <c r="H30" s="45">
        <v>0.0</v>
      </c>
      <c r="I30" s="45">
        <v>0.0</v>
      </c>
      <c r="J30" s="45">
        <f t="shared" si="11"/>
        <v>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/>
      <c r="C31" s="44">
        <v>0.0</v>
      </c>
      <c r="D31" s="33">
        <v>0.0</v>
      </c>
      <c r="E31" s="33">
        <f t="shared" si="6"/>
        <v>0</v>
      </c>
      <c r="F31" s="1"/>
      <c r="G31" s="32" t="s">
        <v>52</v>
      </c>
      <c r="H31" s="45">
        <v>0.0</v>
      </c>
      <c r="I31" s="45">
        <v>0.0</v>
      </c>
      <c r="J31" s="45">
        <f t="shared" si="11"/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/>
      <c r="C32" s="44">
        <v>0.0</v>
      </c>
      <c r="D32" s="33">
        <v>0.0</v>
      </c>
      <c r="E32" s="33">
        <f t="shared" si="6"/>
        <v>0</v>
      </c>
      <c r="F32" s="1"/>
      <c r="G32" s="32" t="s">
        <v>53</v>
      </c>
      <c r="H32" s="45">
        <v>0.0</v>
      </c>
      <c r="I32" s="45">
        <v>0.0</v>
      </c>
      <c r="J32" s="45">
        <f t="shared" si="11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6"/>
        <v>0</v>
      </c>
      <c r="F33" s="1"/>
      <c r="G33" s="40" t="s">
        <v>54</v>
      </c>
      <c r="H33" s="46">
        <f t="shared" ref="H33:J33" si="12">sum(H28:H32)</f>
        <v>0</v>
      </c>
      <c r="I33" s="46">
        <f t="shared" si="12"/>
        <v>0</v>
      </c>
      <c r="J33" s="46">
        <f t="shared" si="12"/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6"/>
        <v>0</v>
      </c>
      <c r="F34" s="1"/>
      <c r="G34" s="30" t="s">
        <v>55</v>
      </c>
      <c r="H34" s="13"/>
      <c r="I34" s="13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6"/>
        <v>0</v>
      </c>
      <c r="F35" s="1"/>
      <c r="G35" s="32" t="s">
        <v>56</v>
      </c>
      <c r="H35" s="36">
        <v>0.0</v>
      </c>
      <c r="I35" s="45">
        <v>0.0</v>
      </c>
      <c r="J35" s="45">
        <f t="shared" ref="J35:J38" si="13">H35-I35</f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49"/>
      <c r="C36" s="44">
        <v>0.0</v>
      </c>
      <c r="D36" s="33">
        <v>0.0</v>
      </c>
      <c r="E36" s="33">
        <f t="shared" si="6"/>
        <v>0</v>
      </c>
      <c r="F36" s="1"/>
      <c r="G36" s="32" t="s">
        <v>57</v>
      </c>
      <c r="H36" s="50">
        <v>2700.0</v>
      </c>
      <c r="I36" s="45">
        <v>2449.0</v>
      </c>
      <c r="J36" s="45">
        <f t="shared" si="13"/>
        <v>251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6"/>
        <v>0</v>
      </c>
      <c r="F37" s="1"/>
      <c r="G37" s="32" t="s">
        <v>58</v>
      </c>
      <c r="H37" s="50">
        <v>0.0</v>
      </c>
      <c r="I37" s="45">
        <v>0.0</v>
      </c>
      <c r="J37" s="45">
        <f t="shared" si="13"/>
        <v>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6"/>
        <v>0</v>
      </c>
      <c r="F38" s="1"/>
      <c r="G38" s="32" t="s">
        <v>59</v>
      </c>
      <c r="H38" s="50">
        <v>0.0</v>
      </c>
      <c r="I38" s="45">
        <v>0.0</v>
      </c>
      <c r="J38" s="45">
        <f t="shared" si="13"/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0" t="s">
        <v>32</v>
      </c>
      <c r="C39" s="51">
        <f t="shared" ref="C39:E39" si="14">sum(C14:C38)</f>
        <v>2245</v>
      </c>
      <c r="D39" s="41">
        <f t="shared" si="14"/>
        <v>2226</v>
      </c>
      <c r="E39" s="41">
        <f t="shared" si="14"/>
        <v>19</v>
      </c>
      <c r="F39" s="1"/>
      <c r="G39" s="40" t="s">
        <v>60</v>
      </c>
      <c r="H39" s="43">
        <f t="shared" ref="H39:J39" si="15">sum(H35:H38)</f>
        <v>2700</v>
      </c>
      <c r="I39" s="46">
        <f t="shared" si="15"/>
        <v>2449</v>
      </c>
      <c r="J39" s="46">
        <f t="shared" si="15"/>
        <v>251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57.75" customHeight="1">
      <c r="A40" s="20"/>
      <c r="B40" s="52" t="s">
        <v>61</v>
      </c>
      <c r="C40" s="53">
        <f t="shared" ref="C40:E40" si="16">sum(C12,C39)</f>
        <v>4745</v>
      </c>
      <c r="D40" s="54">
        <f t="shared" si="16"/>
        <v>4726</v>
      </c>
      <c r="E40" s="55">
        <f t="shared" si="16"/>
        <v>19</v>
      </c>
      <c r="F40" s="1"/>
      <c r="G40" s="18" t="s">
        <v>62</v>
      </c>
      <c r="H40" s="56">
        <f t="shared" ref="H40:J40" si="17">sum(H13,H20,H26,H33,H39)</f>
        <v>6010</v>
      </c>
      <c r="I40" s="57">
        <f t="shared" si="17"/>
        <v>5187.5</v>
      </c>
      <c r="J40" s="58">
        <f t="shared" si="17"/>
        <v>822.5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59"/>
      <c r="C41" s="59"/>
      <c r="D41" s="59"/>
      <c r="E41" s="59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60"/>
      <c r="H50" s="60"/>
      <c r="I50" s="60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15"/>
      <c r="H51" s="15"/>
      <c r="I51" s="15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61"/>
      <c r="H52" s="61"/>
      <c r="I52" s="6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62"/>
      <c r="H56" s="62"/>
      <c r="I56" s="6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62"/>
      <c r="C58" s="62"/>
      <c r="D58" s="61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62"/>
      <c r="H61" s="62"/>
      <c r="I61" s="6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4:J14"/>
    <mergeCell ref="G21:J21"/>
    <mergeCell ref="L21:M23"/>
    <mergeCell ref="N21:N23"/>
    <mergeCell ref="G27:J27"/>
    <mergeCell ref="G34:J34"/>
    <mergeCell ref="B8:E8"/>
    <mergeCell ref="G8:J8"/>
    <mergeCell ref="L11:M13"/>
    <mergeCell ref="N11:N13"/>
    <mergeCell ref="B13:E13"/>
    <mergeCell ref="L16:M18"/>
    <mergeCell ref="N16:N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K5" s="2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27">
        <f t="shared" ref="L7:M7" si="1">sum(C40,H40)</f>
        <v>10466.4</v>
      </c>
      <c r="M7" s="28">
        <f t="shared" si="1"/>
        <v>9306.4</v>
      </c>
      <c r="N7" s="29">
        <f>L7-M7</f>
        <v>1160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1" si="2">C9-D9</f>
        <v>0</v>
      </c>
      <c r="F9" s="1"/>
      <c r="G9" s="34" t="s">
        <v>10</v>
      </c>
      <c r="H9" s="35">
        <v>0.0</v>
      </c>
      <c r="I9" s="35">
        <v>0.0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485.0</v>
      </c>
      <c r="D10" s="33">
        <v>485.0</v>
      </c>
      <c r="E10" s="33">
        <f t="shared" si="2"/>
        <v>0</v>
      </c>
      <c r="F10" s="1"/>
      <c r="G10" s="32" t="s">
        <v>12</v>
      </c>
      <c r="H10" s="36">
        <v>84.4</v>
      </c>
      <c r="I10" s="35">
        <v>84.4</v>
      </c>
      <c r="J10" s="35">
        <f t="shared" ref="J10:J11" si="3">H10-I10</f>
        <v>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13</v>
      </c>
      <c r="C11" s="33">
        <v>0.0</v>
      </c>
      <c r="D11" s="33">
        <v>0.0</v>
      </c>
      <c r="E11" s="33">
        <f t="shared" si="2"/>
        <v>0</v>
      </c>
      <c r="F11" s="1"/>
      <c r="G11" s="32" t="s">
        <v>14</v>
      </c>
      <c r="H11" s="36">
        <v>60.0</v>
      </c>
      <c r="I11" s="35">
        <v>0.0</v>
      </c>
      <c r="J11" s="35">
        <f t="shared" si="3"/>
        <v>60</v>
      </c>
      <c r="K11" s="2"/>
      <c r="L11" s="38" t="s">
        <v>15</v>
      </c>
      <c r="M11" s="5"/>
      <c r="N11" s="39">
        <v>17946.0</v>
      </c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40" t="s">
        <v>16</v>
      </c>
      <c r="C12" s="41">
        <f t="shared" ref="C12:E12" si="4">sum(C9:C11)</f>
        <v>2985</v>
      </c>
      <c r="D12" s="41">
        <f t="shared" si="4"/>
        <v>2985</v>
      </c>
      <c r="E12" s="41">
        <f t="shared" si="4"/>
        <v>0</v>
      </c>
      <c r="F12" s="1"/>
      <c r="G12" s="32" t="s">
        <v>17</v>
      </c>
      <c r="H12" s="36">
        <v>400.0</v>
      </c>
      <c r="I12" s="35">
        <v>83.0</v>
      </c>
      <c r="J12" s="35">
        <v>0.0</v>
      </c>
      <c r="K12" s="2"/>
      <c r="L12" s="6"/>
      <c r="M12" s="7"/>
      <c r="N12" s="4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30" t="s">
        <v>18</v>
      </c>
      <c r="C13" s="13"/>
      <c r="D13" s="13"/>
      <c r="E13" s="14"/>
      <c r="F13" s="1"/>
      <c r="G13" s="40" t="s">
        <v>16</v>
      </c>
      <c r="H13" s="43">
        <f t="shared" ref="H13:J13" si="5">sum(H9:H12)</f>
        <v>544.4</v>
      </c>
      <c r="I13" s="43">
        <f t="shared" si="5"/>
        <v>167.4</v>
      </c>
      <c r="J13" s="43">
        <f t="shared" si="5"/>
        <v>60</v>
      </c>
      <c r="K13" s="2"/>
      <c r="L13" s="9"/>
      <c r="M13" s="11"/>
      <c r="N13" s="3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2" t="s">
        <v>19</v>
      </c>
      <c r="C14" s="44">
        <v>0.0</v>
      </c>
      <c r="D14" s="33">
        <v>0.0</v>
      </c>
      <c r="E14" s="33">
        <f t="shared" ref="E14:E16" si="6">C14-D14</f>
        <v>0</v>
      </c>
      <c r="F14" s="1"/>
      <c r="G14" s="30" t="s">
        <v>18</v>
      </c>
      <c r="H14" s="13"/>
      <c r="I14" s="13"/>
      <c r="J14" s="14"/>
      <c r="K14" s="2"/>
      <c r="L14" s="1"/>
      <c r="M14" s="1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20</v>
      </c>
      <c r="C15" s="44">
        <v>0.0</v>
      </c>
      <c r="D15" s="33">
        <v>0.0</v>
      </c>
      <c r="E15" s="33">
        <f t="shared" si="6"/>
        <v>0</v>
      </c>
      <c r="F15" s="1"/>
      <c r="G15" s="32" t="s">
        <v>21</v>
      </c>
      <c r="H15" s="45">
        <v>1400.0</v>
      </c>
      <c r="I15" s="45">
        <v>1707.0</v>
      </c>
      <c r="J15" s="45">
        <f t="shared" ref="J15:J19" si="7">H15-I15</f>
        <v>-307</v>
      </c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22</v>
      </c>
      <c r="C16" s="44">
        <v>0.0</v>
      </c>
      <c r="D16" s="33">
        <v>0.0</v>
      </c>
      <c r="E16" s="33">
        <f t="shared" si="6"/>
        <v>0</v>
      </c>
      <c r="F16" s="1"/>
      <c r="G16" s="32" t="s">
        <v>23</v>
      </c>
      <c r="H16" s="45">
        <v>400.0</v>
      </c>
      <c r="I16" s="45">
        <v>170.0</v>
      </c>
      <c r="J16" s="45">
        <f t="shared" si="7"/>
        <v>230</v>
      </c>
      <c r="K16" s="2"/>
      <c r="L16" s="38" t="s">
        <v>24</v>
      </c>
      <c r="M16" s="5"/>
      <c r="N16" s="39">
        <f>N11-L7</f>
        <v>7479.6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25</v>
      </c>
      <c r="C17" s="44">
        <v>13.0</v>
      </c>
      <c r="D17" s="33">
        <v>13.0</v>
      </c>
      <c r="E17" s="33">
        <v>0.0</v>
      </c>
      <c r="F17" s="1"/>
      <c r="G17" s="32" t="s">
        <v>26</v>
      </c>
      <c r="H17" s="45">
        <v>300.0</v>
      </c>
      <c r="I17" s="45">
        <v>0.0</v>
      </c>
      <c r="J17" s="45">
        <f t="shared" si="7"/>
        <v>300</v>
      </c>
      <c r="K17" s="2"/>
      <c r="L17" s="6"/>
      <c r="M17" s="7"/>
      <c r="N17" s="4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27</v>
      </c>
      <c r="C18" s="44">
        <v>0.0</v>
      </c>
      <c r="D18" s="33">
        <v>0.0</v>
      </c>
      <c r="E18" s="33">
        <f>C18-D18</f>
        <v>0</v>
      </c>
      <c r="F18" s="1"/>
      <c r="G18" s="32" t="s">
        <v>28</v>
      </c>
      <c r="H18" s="45">
        <v>0.0</v>
      </c>
      <c r="I18" s="45">
        <v>0.0</v>
      </c>
      <c r="J18" s="45">
        <f t="shared" si="7"/>
        <v>0</v>
      </c>
      <c r="K18" s="2"/>
      <c r="L18" s="9"/>
      <c r="M18" s="11"/>
      <c r="N18" s="3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29</v>
      </c>
      <c r="C19" s="44">
        <v>120.0</v>
      </c>
      <c r="D19" s="33">
        <v>0.0</v>
      </c>
      <c r="E19" s="33">
        <v>0.0</v>
      </c>
      <c r="F19" s="1"/>
      <c r="G19" s="32" t="s">
        <v>30</v>
      </c>
      <c r="H19" s="45">
        <v>0.0</v>
      </c>
      <c r="I19" s="45">
        <v>81.0</v>
      </c>
      <c r="J19" s="45">
        <f t="shared" si="7"/>
        <v>-81</v>
      </c>
      <c r="K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31</v>
      </c>
      <c r="C20" s="44">
        <v>0.0</v>
      </c>
      <c r="D20" s="33">
        <v>0.0</v>
      </c>
      <c r="E20" s="33">
        <f t="shared" ref="E20:E26" si="9">C20-D20</f>
        <v>0</v>
      </c>
      <c r="F20" s="1"/>
      <c r="G20" s="40" t="s">
        <v>32</v>
      </c>
      <c r="H20" s="46">
        <f t="shared" ref="H20:J20" si="8">sum(H15:H19)</f>
        <v>2100</v>
      </c>
      <c r="I20" s="46">
        <f t="shared" si="8"/>
        <v>1958</v>
      </c>
      <c r="J20" s="46">
        <f t="shared" si="8"/>
        <v>142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33</v>
      </c>
      <c r="C21" s="44">
        <v>0.0</v>
      </c>
      <c r="D21" s="33">
        <v>0.0</v>
      </c>
      <c r="E21" s="33">
        <f t="shared" si="9"/>
        <v>0</v>
      </c>
      <c r="F21" s="1"/>
      <c r="G21" s="30" t="s">
        <v>34</v>
      </c>
      <c r="H21" s="13"/>
      <c r="I21" s="13"/>
      <c r="J21" s="14"/>
      <c r="K21" s="2"/>
      <c r="L21" s="38" t="s">
        <v>35</v>
      </c>
      <c r="M21" s="5"/>
      <c r="N21" s="39">
        <f>N11-M7</f>
        <v>8639.6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36</v>
      </c>
      <c r="C22" s="44">
        <v>0.0</v>
      </c>
      <c r="D22" s="33">
        <v>0.0</v>
      </c>
      <c r="E22" s="33">
        <f t="shared" si="9"/>
        <v>0</v>
      </c>
      <c r="F22" s="1"/>
      <c r="G22" s="32" t="s">
        <v>37</v>
      </c>
      <c r="H22" s="45">
        <v>400.0</v>
      </c>
      <c r="I22" s="45">
        <v>79.0</v>
      </c>
      <c r="J22" s="45">
        <f t="shared" ref="J22:J25" si="10">H22-I22</f>
        <v>321</v>
      </c>
      <c r="K22" s="2"/>
      <c r="L22" s="6"/>
      <c r="M22" s="7"/>
      <c r="N22" s="4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38</v>
      </c>
      <c r="C23" s="44">
        <v>0.0</v>
      </c>
      <c r="D23" s="33">
        <v>0.0</v>
      </c>
      <c r="E23" s="33">
        <f t="shared" si="9"/>
        <v>0</v>
      </c>
      <c r="F23" s="1"/>
      <c r="G23" s="32" t="s">
        <v>39</v>
      </c>
      <c r="H23" s="45">
        <v>200.0</v>
      </c>
      <c r="I23" s="45">
        <v>0.0</v>
      </c>
      <c r="J23" s="45">
        <f t="shared" si="10"/>
        <v>200</v>
      </c>
      <c r="K23" s="2"/>
      <c r="L23" s="9"/>
      <c r="M23" s="11"/>
      <c r="N23" s="3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40</v>
      </c>
      <c r="C24" s="44">
        <v>0.0</v>
      </c>
      <c r="D24" s="33">
        <v>0.0</v>
      </c>
      <c r="E24" s="33">
        <f t="shared" si="9"/>
        <v>0</v>
      </c>
      <c r="F24" s="1"/>
      <c r="G24" s="32" t="s">
        <v>41</v>
      </c>
      <c r="H24" s="45">
        <v>0.0</v>
      </c>
      <c r="I24" s="45">
        <v>0.0</v>
      </c>
      <c r="J24" s="45">
        <f t="shared" si="10"/>
        <v>0</v>
      </c>
      <c r="K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42</v>
      </c>
      <c r="C25" s="44">
        <v>0.0</v>
      </c>
      <c r="D25" s="33">
        <v>0.0</v>
      </c>
      <c r="E25" s="33">
        <f t="shared" si="9"/>
        <v>0</v>
      </c>
      <c r="F25" s="1"/>
      <c r="G25" s="32" t="s">
        <v>43</v>
      </c>
      <c r="H25" s="45">
        <v>0.0</v>
      </c>
      <c r="I25" s="45">
        <v>1500.0</v>
      </c>
      <c r="J25" s="45">
        <f t="shared" si="10"/>
        <v>-1500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44</v>
      </c>
      <c r="C26" s="44">
        <v>0.0</v>
      </c>
      <c r="D26" s="33">
        <v>0.0</v>
      </c>
      <c r="E26" s="33">
        <f t="shared" si="9"/>
        <v>0</v>
      </c>
      <c r="F26" s="1"/>
      <c r="G26" s="40" t="s">
        <v>45</v>
      </c>
      <c r="H26" s="46">
        <f t="shared" ref="H26:J26" si="11">sum(H22:H25)</f>
        <v>600</v>
      </c>
      <c r="I26" s="46">
        <f t="shared" si="11"/>
        <v>1579</v>
      </c>
      <c r="J26" s="46">
        <f t="shared" si="11"/>
        <v>-979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32" t="s">
        <v>46</v>
      </c>
      <c r="C27" s="44">
        <f>370</f>
        <v>370</v>
      </c>
      <c r="D27" s="33">
        <v>239.0</v>
      </c>
      <c r="E27" s="33">
        <v>0.0</v>
      </c>
      <c r="F27" s="1"/>
      <c r="G27" s="30" t="s">
        <v>47</v>
      </c>
      <c r="H27" s="13"/>
      <c r="I27" s="13"/>
      <c r="J27" s="14"/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49</v>
      </c>
      <c r="C28" s="44">
        <v>1000.0</v>
      </c>
      <c r="D28" s="33">
        <v>0.0</v>
      </c>
      <c r="E28" s="33">
        <v>0.0</v>
      </c>
      <c r="F28" s="1"/>
      <c r="G28" s="32" t="s">
        <v>48</v>
      </c>
      <c r="H28" s="45">
        <v>0.0</v>
      </c>
      <c r="I28" s="45">
        <v>0.0</v>
      </c>
      <c r="J28" s="45">
        <f t="shared" ref="J28:J32" si="12">H28-I28</f>
        <v>0</v>
      </c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64</v>
      </c>
      <c r="C29" s="44">
        <v>0.0</v>
      </c>
      <c r="D29" s="33">
        <v>349.0</v>
      </c>
      <c r="E29" s="33">
        <f t="shared" ref="E29:E38" si="13">C29-D29</f>
        <v>-349</v>
      </c>
      <c r="F29" s="1"/>
      <c r="G29" s="32" t="s">
        <v>50</v>
      </c>
      <c r="H29" s="45">
        <v>0.0</v>
      </c>
      <c r="I29" s="45">
        <v>0.0</v>
      </c>
      <c r="J29" s="45">
        <f t="shared" si="12"/>
        <v>0</v>
      </c>
      <c r="K29" s="2"/>
      <c r="L29" s="48"/>
      <c r="M29" s="48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/>
      <c r="C30" s="44">
        <v>0.0</v>
      </c>
      <c r="D30" s="33">
        <v>0.0</v>
      </c>
      <c r="E30" s="33">
        <f t="shared" si="13"/>
        <v>0</v>
      </c>
      <c r="F30" s="1"/>
      <c r="G30" s="32" t="s">
        <v>51</v>
      </c>
      <c r="H30" s="45">
        <v>0.0</v>
      </c>
      <c r="I30" s="45">
        <v>0.0</v>
      </c>
      <c r="J30" s="45">
        <f t="shared" si="12"/>
        <v>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/>
      <c r="C31" s="44">
        <v>0.0</v>
      </c>
      <c r="D31" s="33">
        <v>0.0</v>
      </c>
      <c r="E31" s="33">
        <f t="shared" si="13"/>
        <v>0</v>
      </c>
      <c r="F31" s="1"/>
      <c r="G31" s="32" t="s">
        <v>52</v>
      </c>
      <c r="H31" s="45">
        <v>0.0</v>
      </c>
      <c r="I31" s="45">
        <v>0.0</v>
      </c>
      <c r="J31" s="45">
        <f t="shared" si="12"/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/>
      <c r="C32" s="44">
        <v>0.0</v>
      </c>
      <c r="D32" s="33">
        <v>0.0</v>
      </c>
      <c r="E32" s="33">
        <f t="shared" si="13"/>
        <v>0</v>
      </c>
      <c r="F32" s="1"/>
      <c r="G32" s="32" t="s">
        <v>53</v>
      </c>
      <c r="H32" s="45">
        <v>0.0</v>
      </c>
      <c r="I32" s="45">
        <v>0.0</v>
      </c>
      <c r="J32" s="45">
        <f t="shared" si="12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13"/>
        <v>0</v>
      </c>
      <c r="F33" s="1"/>
      <c r="G33" s="40" t="s">
        <v>54</v>
      </c>
      <c r="H33" s="46">
        <f t="shared" ref="H33:J33" si="14">sum(H28:H32)</f>
        <v>0</v>
      </c>
      <c r="I33" s="46">
        <f t="shared" si="14"/>
        <v>0</v>
      </c>
      <c r="J33" s="46">
        <f t="shared" si="14"/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3"/>
        <v>0</v>
      </c>
      <c r="F34" s="1"/>
      <c r="G34" s="30" t="s">
        <v>55</v>
      </c>
      <c r="H34" s="13"/>
      <c r="I34" s="13"/>
      <c r="J34" s="1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3"/>
        <v>0</v>
      </c>
      <c r="F35" s="1"/>
      <c r="G35" s="32" t="s">
        <v>56</v>
      </c>
      <c r="H35" s="36">
        <v>0.0</v>
      </c>
      <c r="I35" s="45">
        <v>0.0</v>
      </c>
      <c r="J35" s="45">
        <f t="shared" ref="J35:J38" si="15">H35-I35</f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49"/>
      <c r="C36" s="44">
        <v>0.0</v>
      </c>
      <c r="D36" s="33">
        <v>0.0</v>
      </c>
      <c r="E36" s="33">
        <f t="shared" si="13"/>
        <v>0</v>
      </c>
      <c r="F36" s="1"/>
      <c r="G36" s="32" t="s">
        <v>57</v>
      </c>
      <c r="H36" s="50">
        <v>2700.0</v>
      </c>
      <c r="I36" s="45">
        <v>2016.0</v>
      </c>
      <c r="J36" s="45">
        <f t="shared" si="15"/>
        <v>684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3"/>
        <v>0</v>
      </c>
      <c r="F37" s="1"/>
      <c r="G37" s="32" t="s">
        <v>58</v>
      </c>
      <c r="H37" s="50">
        <v>34.0</v>
      </c>
      <c r="I37" s="45">
        <v>0.0</v>
      </c>
      <c r="J37" s="45">
        <f t="shared" si="15"/>
        <v>34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3"/>
        <v>0</v>
      </c>
      <c r="F38" s="1"/>
      <c r="G38" s="32" t="s">
        <v>59</v>
      </c>
      <c r="H38" s="50">
        <v>0.0</v>
      </c>
      <c r="I38" s="45">
        <v>0.0</v>
      </c>
      <c r="J38" s="45">
        <f t="shared" si="15"/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0" t="s">
        <v>32</v>
      </c>
      <c r="C39" s="51">
        <f t="shared" ref="C39:E39" si="16">sum(C14:C38)</f>
        <v>1503</v>
      </c>
      <c r="D39" s="41">
        <f t="shared" si="16"/>
        <v>601</v>
      </c>
      <c r="E39" s="41">
        <f t="shared" si="16"/>
        <v>-349</v>
      </c>
      <c r="F39" s="1"/>
      <c r="G39" s="40" t="s">
        <v>60</v>
      </c>
      <c r="H39" s="43">
        <f t="shared" ref="H39:J39" si="17">sum(H35:H38)</f>
        <v>2734</v>
      </c>
      <c r="I39" s="46">
        <f t="shared" si="17"/>
        <v>2016</v>
      </c>
      <c r="J39" s="46">
        <f t="shared" si="17"/>
        <v>718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57.75" customHeight="1">
      <c r="A40" s="20"/>
      <c r="B40" s="52" t="s">
        <v>61</v>
      </c>
      <c r="C40" s="53">
        <f t="shared" ref="C40:E40" si="18">sum(C12,C39)</f>
        <v>4488</v>
      </c>
      <c r="D40" s="54">
        <f t="shared" si="18"/>
        <v>3586</v>
      </c>
      <c r="E40" s="55">
        <f t="shared" si="18"/>
        <v>-349</v>
      </c>
      <c r="F40" s="1"/>
      <c r="G40" s="18" t="s">
        <v>62</v>
      </c>
      <c r="H40" s="56">
        <f t="shared" ref="H40:J40" si="19">sum(H13,H20,H26,H33,H39)</f>
        <v>5978.4</v>
      </c>
      <c r="I40" s="57">
        <f t="shared" si="19"/>
        <v>5720.4</v>
      </c>
      <c r="J40" s="58">
        <f t="shared" si="19"/>
        <v>-59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59"/>
      <c r="C41" s="59"/>
      <c r="D41" s="59"/>
      <c r="E41" s="59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60"/>
      <c r="H50" s="60"/>
      <c r="I50" s="60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15"/>
      <c r="H51" s="15"/>
      <c r="I51" s="15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61"/>
      <c r="H52" s="61"/>
      <c r="I52" s="6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62"/>
      <c r="H56" s="62"/>
      <c r="I56" s="6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62"/>
      <c r="C58" s="62"/>
      <c r="D58" s="61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62"/>
      <c r="H61" s="62"/>
      <c r="I61" s="6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4:J14"/>
    <mergeCell ref="G21:J21"/>
    <mergeCell ref="L21:M23"/>
    <mergeCell ref="N21:N23"/>
    <mergeCell ref="G27:J27"/>
    <mergeCell ref="G34:J34"/>
    <mergeCell ref="B8:E8"/>
    <mergeCell ref="G8:J8"/>
    <mergeCell ref="L11:M13"/>
    <mergeCell ref="N11:N13"/>
    <mergeCell ref="B13:E13"/>
    <mergeCell ref="L16:M18"/>
    <mergeCell ref="N16:N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K5" s="2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9000.0</v>
      </c>
      <c r="M7" s="28">
        <f>sum(D41,I41)</f>
        <v>15029.7</v>
      </c>
      <c r="N7" s="29">
        <f>L7-M7</f>
        <v>-6029.7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73.0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0.0</v>
      </c>
      <c r="D10" s="33">
        <v>0.0</v>
      </c>
      <c r="E10" s="33">
        <f t="shared" si="1"/>
        <v>0</v>
      </c>
      <c r="F10" s="1"/>
      <c r="G10" s="32" t="s">
        <v>12</v>
      </c>
      <c r="H10" s="36">
        <v>88.7</v>
      </c>
      <c r="I10" s="35">
        <v>88.7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2500.0</v>
      </c>
      <c r="D11" s="33">
        <v>2500.0</v>
      </c>
      <c r="E11" s="33">
        <f t="shared" si="1"/>
        <v>0</v>
      </c>
      <c r="F11" s="1"/>
      <c r="G11" s="32"/>
      <c r="H11" s="36"/>
      <c r="I11" s="35"/>
      <c r="J11" s="35"/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31.0</v>
      </c>
      <c r="J12" s="35">
        <f>H12-I12</f>
        <v>0</v>
      </c>
      <c r="K12" s="2"/>
      <c r="L12" s="38" t="s">
        <v>15</v>
      </c>
      <c r="M12" s="5"/>
      <c r="N12" s="39">
        <v>9000.0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5000</v>
      </c>
      <c r="D13" s="41">
        <f t="shared" si="2"/>
        <v>5000</v>
      </c>
      <c r="E13" s="41">
        <f t="shared" si="2"/>
        <v>0</v>
      </c>
      <c r="F13" s="1"/>
      <c r="G13" s="32" t="s">
        <v>17</v>
      </c>
      <c r="H13" s="36">
        <v>0.0</v>
      </c>
      <c r="I13" s="35">
        <v>0.0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259.7</v>
      </c>
      <c r="I14" s="43">
        <f t="shared" si="3"/>
        <v>192.7</v>
      </c>
      <c r="J14" s="43">
        <f t="shared" si="3"/>
        <v>0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1000.0</v>
      </c>
      <c r="D15" s="33">
        <v>244.0</v>
      </c>
      <c r="E15" s="33">
        <f t="shared" ref="E15:E17" si="4">C15-D15</f>
        <v>756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800.0</v>
      </c>
      <c r="I16" s="45">
        <v>1108.0</v>
      </c>
      <c r="J16" s="45">
        <f t="shared" ref="J16:J20" si="5">H16-I16</f>
        <v>-308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0.0</v>
      </c>
      <c r="J17" s="45">
        <f t="shared" si="5"/>
        <v>0</v>
      </c>
      <c r="K17" s="2"/>
      <c r="L17" s="38" t="s">
        <v>24</v>
      </c>
      <c r="M17" s="5"/>
      <c r="N17" s="39">
        <f>N12-L7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0.0</v>
      </c>
      <c r="E18" s="33">
        <v>0.0</v>
      </c>
      <c r="F18" s="1"/>
      <c r="G18" s="32" t="s">
        <v>26</v>
      </c>
      <c r="H18" s="45">
        <v>150.0</v>
      </c>
      <c r="I18" s="45">
        <v>100.0</v>
      </c>
      <c r="J18" s="45">
        <f t="shared" si="5"/>
        <v>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90.0</v>
      </c>
      <c r="E20" s="33">
        <v>0.0</v>
      </c>
      <c r="F20" s="1"/>
      <c r="G20" s="32" t="s">
        <v>30</v>
      </c>
      <c r="H20" s="45">
        <v>200.0</v>
      </c>
      <c r="I20" s="45">
        <v>194.0</v>
      </c>
      <c r="J20" s="45">
        <f t="shared" si="5"/>
        <v>6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1150</v>
      </c>
      <c r="I21" s="46">
        <f t="shared" si="6"/>
        <v>1402</v>
      </c>
      <c r="J21" s="46">
        <f t="shared" si="6"/>
        <v>-252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-6029.7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0.0</v>
      </c>
      <c r="I23" s="45">
        <v>0.0</v>
      </c>
      <c r="J23" s="45">
        <f t="shared" ref="J23:J26" si="8">H23-I23</f>
        <v>0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0.0</v>
      </c>
      <c r="I24" s="45">
        <v>0.0</v>
      </c>
      <c r="J24" s="45">
        <f t="shared" si="8"/>
        <v>0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0.0</v>
      </c>
      <c r="I26" s="45">
        <v>1947.0</v>
      </c>
      <c r="J26" s="45">
        <f t="shared" si="8"/>
        <v>-1947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0</v>
      </c>
      <c r="I27" s="46">
        <f t="shared" si="9"/>
        <v>1947</v>
      </c>
      <c r="J27" s="46">
        <f t="shared" si="9"/>
        <v>-1947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218.0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500.0</v>
      </c>
      <c r="D29" s="33">
        <v>0.0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 t="shared" ref="J29:J33" si="10"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 t="shared" ref="E30:E39" si="11">C30-D30</f>
        <v>0</v>
      </c>
      <c r="F30" s="1"/>
      <c r="G30" s="32" t="s">
        <v>50</v>
      </c>
      <c r="H30" s="45">
        <v>200.0</v>
      </c>
      <c r="I30" s="45">
        <v>1040.0</v>
      </c>
      <c r="J30" s="45">
        <f t="shared" si="10"/>
        <v>-840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200.0</v>
      </c>
      <c r="E31" s="33">
        <f t="shared" si="11"/>
        <v>-200</v>
      </c>
      <c r="F31" s="1"/>
      <c r="G31" s="32" t="s">
        <v>51</v>
      </c>
      <c r="H31" s="45">
        <v>0.0</v>
      </c>
      <c r="I31" s="45">
        <v>0.0</v>
      </c>
      <c r="J31" s="45">
        <f t="shared" si="10"/>
        <v>0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/>
      <c r="C32" s="44">
        <v>0.0</v>
      </c>
      <c r="D32" s="33">
        <v>0.0</v>
      </c>
      <c r="E32" s="33">
        <f t="shared" si="11"/>
        <v>0</v>
      </c>
      <c r="F32" s="1"/>
      <c r="G32" s="32" t="s">
        <v>52</v>
      </c>
      <c r="H32" s="45">
        <v>0.0</v>
      </c>
      <c r="I32" s="45">
        <v>0.0</v>
      </c>
      <c r="J32" s="45">
        <f t="shared" si="10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11"/>
        <v>0</v>
      </c>
      <c r="F33" s="1"/>
      <c r="G33" s="32" t="s">
        <v>53</v>
      </c>
      <c r="H33" s="45">
        <v>0.0</v>
      </c>
      <c r="I33" s="45">
        <v>0.0</v>
      </c>
      <c r="J33" s="45">
        <f t="shared" si="10"/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200</v>
      </c>
      <c r="I34" s="46">
        <f t="shared" si="12"/>
        <v>1040</v>
      </c>
      <c r="J34" s="46">
        <f t="shared" si="12"/>
        <v>-840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3500.0</v>
      </c>
      <c r="I37" s="45">
        <v>4696.0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0.0</v>
      </c>
      <c r="I39" s="45">
        <v>0.0</v>
      </c>
      <c r="J39" s="45">
        <f>H39-I39</f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1883</v>
      </c>
      <c r="D40" s="41">
        <f t="shared" si="13"/>
        <v>752</v>
      </c>
      <c r="E40" s="41">
        <f t="shared" si="13"/>
        <v>556</v>
      </c>
      <c r="F40" s="1"/>
      <c r="G40" s="40" t="s">
        <v>60</v>
      </c>
      <c r="H40" s="43">
        <f t="shared" ref="H40:J40" si="14">sum(H36:H39)</f>
        <v>3500</v>
      </c>
      <c r="I40" s="46">
        <f t="shared" si="14"/>
        <v>4696</v>
      </c>
      <c r="J40" s="46">
        <f t="shared" si="14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6883</v>
      </c>
      <c r="D41" s="54">
        <f t="shared" si="15"/>
        <v>5752</v>
      </c>
      <c r="E41" s="55">
        <f t="shared" si="15"/>
        <v>556</v>
      </c>
      <c r="F41" s="1"/>
      <c r="G41" s="18" t="s">
        <v>62</v>
      </c>
      <c r="H41" s="56">
        <f t="shared" ref="H41:J41" si="16">sum(H14,H21,H27,H34,H40)</f>
        <v>5109.7</v>
      </c>
      <c r="I41" s="57">
        <f t="shared" si="16"/>
        <v>9277.7</v>
      </c>
      <c r="J41" s="58">
        <f t="shared" si="16"/>
        <v>-3039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K5" s="2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9000.0</v>
      </c>
      <c r="M7" s="28">
        <f>sum(D41,I41)</f>
        <v>8364</v>
      </c>
      <c r="N7" s="29">
        <f>L7-M7</f>
        <v>636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123.0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417.0</v>
      </c>
      <c r="D10" s="33">
        <v>417.0</v>
      </c>
      <c r="E10" s="33">
        <f t="shared" si="1"/>
        <v>0</v>
      </c>
      <c r="F10" s="1"/>
      <c r="G10" s="32" t="s">
        <v>12</v>
      </c>
      <c r="H10" s="36">
        <v>0.0</v>
      </c>
      <c r="I10" s="35">
        <v>0.0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2500.0</v>
      </c>
      <c r="D11" s="33">
        <v>2509.0</v>
      </c>
      <c r="E11" s="33">
        <f t="shared" si="1"/>
        <v>-9</v>
      </c>
      <c r="F11" s="1"/>
      <c r="G11" s="32" t="s">
        <v>50</v>
      </c>
      <c r="H11" s="36">
        <v>700.0</v>
      </c>
      <c r="I11" s="35">
        <v>450.0</v>
      </c>
      <c r="J11" s="35">
        <v>0.0</v>
      </c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31.0</v>
      </c>
      <c r="J12" s="35">
        <f>H12-I12</f>
        <v>0</v>
      </c>
      <c r="K12" s="2"/>
      <c r="L12" s="38" t="s">
        <v>15</v>
      </c>
      <c r="M12" s="5"/>
      <c r="N12" s="39">
        <v>16000.0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5417</v>
      </c>
      <c r="D13" s="41">
        <f t="shared" si="2"/>
        <v>5426</v>
      </c>
      <c r="E13" s="41">
        <f t="shared" si="2"/>
        <v>-9</v>
      </c>
      <c r="F13" s="1"/>
      <c r="G13" s="32" t="s">
        <v>17</v>
      </c>
      <c r="H13" s="36">
        <v>0.0</v>
      </c>
      <c r="I13" s="35">
        <v>0.0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871</v>
      </c>
      <c r="I14" s="43">
        <f t="shared" si="3"/>
        <v>604</v>
      </c>
      <c r="J14" s="43">
        <f t="shared" si="3"/>
        <v>0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1900.0</v>
      </c>
      <c r="D15" s="33">
        <v>244.0</v>
      </c>
      <c r="E15" s="33">
        <f t="shared" ref="E15:E17" si="4">C15-D15</f>
        <v>1656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1000.0</v>
      </c>
      <c r="I16" s="45">
        <v>1072.0</v>
      </c>
      <c r="J16" s="45">
        <f t="shared" ref="J16:J20" si="5">H16-I16</f>
        <v>-72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0.0</v>
      </c>
      <c r="J17" s="45">
        <f t="shared" si="5"/>
        <v>0</v>
      </c>
      <c r="K17" s="2"/>
      <c r="L17" s="38" t="s">
        <v>24</v>
      </c>
      <c r="M17" s="5"/>
      <c r="N17" s="39">
        <f>N12-L7</f>
        <v>7000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106.0</v>
      </c>
      <c r="E18" s="33">
        <v>0.0</v>
      </c>
      <c r="F18" s="1"/>
      <c r="G18" s="32" t="s">
        <v>26</v>
      </c>
      <c r="H18" s="45">
        <v>150.0</v>
      </c>
      <c r="I18" s="45">
        <v>0.0</v>
      </c>
      <c r="J18" s="45">
        <f t="shared" si="5"/>
        <v>150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113.0</v>
      </c>
      <c r="E20" s="33">
        <v>0.0</v>
      </c>
      <c r="F20" s="1"/>
      <c r="G20" s="32" t="s">
        <v>30</v>
      </c>
      <c r="H20" s="45">
        <v>200.0</v>
      </c>
      <c r="I20" s="45">
        <v>0.0</v>
      </c>
      <c r="J20" s="45">
        <f t="shared" si="5"/>
        <v>200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1350</v>
      </c>
      <c r="I21" s="46">
        <f t="shared" si="6"/>
        <v>1072</v>
      </c>
      <c r="J21" s="46">
        <f t="shared" si="6"/>
        <v>278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7636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300.0</v>
      </c>
      <c r="I23" s="45">
        <v>408.0</v>
      </c>
      <c r="J23" s="45">
        <f t="shared" ref="J23:J26" si="8">H23-I23</f>
        <v>-108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0.0</v>
      </c>
      <c r="I24" s="45">
        <v>0.0</v>
      </c>
      <c r="J24" s="45">
        <f t="shared" si="8"/>
        <v>0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0.0</v>
      </c>
      <c r="I26" s="45">
        <v>0.0</v>
      </c>
      <c r="J26" s="45">
        <f t="shared" si="8"/>
        <v>0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300</v>
      </c>
      <c r="I27" s="46">
        <f t="shared" si="9"/>
        <v>408</v>
      </c>
      <c r="J27" s="46">
        <f t="shared" si="9"/>
        <v>-108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240.0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500.0</v>
      </c>
      <c r="D29" s="33">
        <v>0.0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>C30-D30</f>
        <v>0</v>
      </c>
      <c r="F30" s="1"/>
      <c r="G30" s="32" t="s">
        <v>66</v>
      </c>
      <c r="H30" s="45">
        <v>0.0</v>
      </c>
      <c r="I30" s="45">
        <v>0.0</v>
      </c>
      <c r="J30" s="45">
        <v>0.0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0.0</v>
      </c>
      <c r="E31" s="33">
        <v>0.0</v>
      </c>
      <c r="F31" s="1"/>
      <c r="G31" s="32" t="s">
        <v>51</v>
      </c>
      <c r="H31" s="45">
        <v>0.0</v>
      </c>
      <c r="I31" s="45">
        <v>0.0</v>
      </c>
      <c r="J31" s="45">
        <f t="shared" ref="J31:J33" si="10">H31-I31</f>
        <v>0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 t="s">
        <v>67</v>
      </c>
      <c r="C32" s="44">
        <v>0.0</v>
      </c>
      <c r="D32" s="33">
        <v>41.0</v>
      </c>
      <c r="E32" s="33">
        <f t="shared" ref="E32:E39" si="11">C32-D32</f>
        <v>-41</v>
      </c>
      <c r="F32" s="1"/>
      <c r="G32" s="32" t="s">
        <v>52</v>
      </c>
      <c r="H32" s="45">
        <v>0.0</v>
      </c>
      <c r="I32" s="45">
        <v>0.0</v>
      </c>
      <c r="J32" s="45">
        <f t="shared" si="10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11"/>
        <v>0</v>
      </c>
      <c r="F33" s="1"/>
      <c r="G33" s="32" t="s">
        <v>53</v>
      </c>
      <c r="H33" s="45">
        <v>0.0</v>
      </c>
      <c r="I33" s="45">
        <v>110.0</v>
      </c>
      <c r="J33" s="45">
        <f t="shared" si="10"/>
        <v>-110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0</v>
      </c>
      <c r="I34" s="46">
        <f t="shared" si="12"/>
        <v>110</v>
      </c>
      <c r="J34" s="46">
        <f t="shared" si="12"/>
        <v>-110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0.0</v>
      </c>
      <c r="I37" s="45">
        <v>0.0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0.0</v>
      </c>
      <c r="I39" s="45">
        <v>0.0</v>
      </c>
      <c r="J39" s="45">
        <f>H39-I39</f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2783</v>
      </c>
      <c r="D40" s="41">
        <f t="shared" si="13"/>
        <v>744</v>
      </c>
      <c r="E40" s="41">
        <f t="shared" si="13"/>
        <v>1615</v>
      </c>
      <c r="F40" s="1"/>
      <c r="G40" s="40" t="s">
        <v>60</v>
      </c>
      <c r="H40" s="43">
        <f t="shared" ref="H40:J40" si="14">sum(H36:H39)</f>
        <v>0</v>
      </c>
      <c r="I40" s="46">
        <f t="shared" si="14"/>
        <v>0</v>
      </c>
      <c r="J40" s="46">
        <f t="shared" si="14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8200</v>
      </c>
      <c r="D41" s="54">
        <f t="shared" si="15"/>
        <v>6170</v>
      </c>
      <c r="E41" s="55">
        <f t="shared" si="15"/>
        <v>1606</v>
      </c>
      <c r="F41" s="1"/>
      <c r="G41" s="18" t="s">
        <v>62</v>
      </c>
      <c r="H41" s="56">
        <f t="shared" ref="H41:J41" si="16">sum(H14,H21,H27,H34,H40)</f>
        <v>2521</v>
      </c>
      <c r="I41" s="57">
        <f t="shared" si="16"/>
        <v>2194</v>
      </c>
      <c r="J41" s="58">
        <f t="shared" si="16"/>
        <v>60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H1" s="1"/>
      <c r="I1" s="1"/>
      <c r="J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9000.0</v>
      </c>
      <c r="M7" s="28">
        <f>sum(D41,I41)</f>
        <v>13452</v>
      </c>
      <c r="N7" s="29">
        <f>L7-M7</f>
        <v>-4452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86.0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417.0</v>
      </c>
      <c r="D10" s="33">
        <v>423.0</v>
      </c>
      <c r="E10" s="33">
        <f t="shared" si="1"/>
        <v>-6</v>
      </c>
      <c r="F10" s="1"/>
      <c r="G10" s="32" t="s">
        <v>12</v>
      </c>
      <c r="H10" s="36">
        <v>86.0</v>
      </c>
      <c r="I10" s="35">
        <v>92.0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2500.0</v>
      </c>
      <c r="D11" s="33">
        <v>2538.0</v>
      </c>
      <c r="E11" s="33">
        <f t="shared" si="1"/>
        <v>-38</v>
      </c>
      <c r="F11" s="1"/>
      <c r="G11" s="32" t="s">
        <v>50</v>
      </c>
      <c r="H11" s="36">
        <v>700.0</v>
      </c>
      <c r="I11" s="35">
        <v>606.0</v>
      </c>
      <c r="J11" s="35">
        <v>0.0</v>
      </c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0.0</v>
      </c>
      <c r="J12" s="35">
        <f>H12-I12</f>
        <v>31</v>
      </c>
      <c r="K12" s="2"/>
      <c r="L12" s="38" t="s">
        <v>15</v>
      </c>
      <c r="M12" s="5"/>
      <c r="N12" s="39">
        <v>20200.0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5417</v>
      </c>
      <c r="D13" s="41">
        <f t="shared" si="2"/>
        <v>5461</v>
      </c>
      <c r="E13" s="41">
        <f t="shared" si="2"/>
        <v>-44</v>
      </c>
      <c r="F13" s="1"/>
      <c r="G13" s="32" t="s">
        <v>17</v>
      </c>
      <c r="H13" s="36">
        <v>0.0</v>
      </c>
      <c r="I13" s="35">
        <v>35.0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957</v>
      </c>
      <c r="I14" s="43">
        <f t="shared" si="3"/>
        <v>819</v>
      </c>
      <c r="J14" s="43">
        <f t="shared" si="3"/>
        <v>31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244.0</v>
      </c>
      <c r="D15" s="33">
        <v>244.0</v>
      </c>
      <c r="E15" s="33">
        <f t="shared" ref="E15:E17" si="4">C15-D15</f>
        <v>0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1000.0</v>
      </c>
      <c r="I16" s="45">
        <v>1349.0</v>
      </c>
      <c r="J16" s="45">
        <f t="shared" ref="J16:J20" si="5">H16-I16</f>
        <v>-349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35.0</v>
      </c>
      <c r="J17" s="45">
        <f t="shared" si="5"/>
        <v>-35</v>
      </c>
      <c r="K17" s="2"/>
      <c r="L17" s="38" t="s">
        <v>24</v>
      </c>
      <c r="M17" s="5"/>
      <c r="N17" s="39">
        <f>N12-L7</f>
        <v>11200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13.0</v>
      </c>
      <c r="E18" s="33">
        <v>0.0</v>
      </c>
      <c r="F18" s="1"/>
      <c r="G18" s="32" t="s">
        <v>26</v>
      </c>
      <c r="H18" s="45">
        <v>150.0</v>
      </c>
      <c r="I18" s="45">
        <v>0.0</v>
      </c>
      <c r="J18" s="45">
        <f t="shared" si="5"/>
        <v>150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117.0</v>
      </c>
      <c r="E20" s="33">
        <v>0.0</v>
      </c>
      <c r="F20" s="1"/>
      <c r="G20" s="32" t="s">
        <v>30</v>
      </c>
      <c r="H20" s="45">
        <v>200.0</v>
      </c>
      <c r="I20" s="45">
        <v>0.0</v>
      </c>
      <c r="J20" s="45">
        <f t="shared" si="5"/>
        <v>200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1350</v>
      </c>
      <c r="I21" s="46">
        <f t="shared" si="6"/>
        <v>1384</v>
      </c>
      <c r="J21" s="46">
        <f t="shared" si="6"/>
        <v>-34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6748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300.0</v>
      </c>
      <c r="I23" s="45">
        <v>252.0</v>
      </c>
      <c r="J23" s="45">
        <f t="shared" ref="J23:J26" si="8">H23-I23</f>
        <v>48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0.0</v>
      </c>
      <c r="I24" s="45">
        <v>100.0</v>
      </c>
      <c r="J24" s="45">
        <f t="shared" si="8"/>
        <v>-100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0.0</v>
      </c>
      <c r="I26" s="45">
        <v>1150.0</v>
      </c>
      <c r="J26" s="45">
        <f t="shared" si="8"/>
        <v>-1150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300</v>
      </c>
      <c r="I27" s="46">
        <f t="shared" si="9"/>
        <v>1502</v>
      </c>
      <c r="J27" s="46">
        <f t="shared" si="9"/>
        <v>-1202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210.0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500.0</v>
      </c>
      <c r="D29" s="33">
        <v>525.0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>C30-D30</f>
        <v>0</v>
      </c>
      <c r="F30" s="1"/>
      <c r="G30" s="32" t="s">
        <v>66</v>
      </c>
      <c r="H30" s="45">
        <v>0.0</v>
      </c>
      <c r="I30" s="45">
        <v>0.0</v>
      </c>
      <c r="J30" s="45">
        <v>0.0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0.0</v>
      </c>
      <c r="E31" s="33">
        <v>0.0</v>
      </c>
      <c r="F31" s="1"/>
      <c r="G31" s="32" t="s">
        <v>51</v>
      </c>
      <c r="H31" s="45">
        <v>0.0</v>
      </c>
      <c r="I31" s="45">
        <v>397.0</v>
      </c>
      <c r="J31" s="45">
        <f t="shared" ref="J31:J33" si="10">H31-I31</f>
        <v>-397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 t="s">
        <v>67</v>
      </c>
      <c r="C32" s="44">
        <v>0.0</v>
      </c>
      <c r="D32" s="33">
        <v>0.0</v>
      </c>
      <c r="E32" s="33">
        <f t="shared" ref="E32:E39" si="11">C32-D32</f>
        <v>0</v>
      </c>
      <c r="F32" s="1"/>
      <c r="G32" s="32" t="s">
        <v>52</v>
      </c>
      <c r="H32" s="45">
        <v>0.0</v>
      </c>
      <c r="I32" s="45">
        <v>0.0</v>
      </c>
      <c r="J32" s="45">
        <f t="shared" si="10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11"/>
        <v>0</v>
      </c>
      <c r="F33" s="1"/>
      <c r="G33" s="32" t="s">
        <v>53</v>
      </c>
      <c r="H33" s="45">
        <v>100.0</v>
      </c>
      <c r="I33" s="45">
        <v>0.0</v>
      </c>
      <c r="J33" s="45">
        <f t="shared" si="10"/>
        <v>100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100</v>
      </c>
      <c r="I34" s="46">
        <f t="shared" si="12"/>
        <v>397</v>
      </c>
      <c r="J34" s="46">
        <f t="shared" si="12"/>
        <v>-297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0.0</v>
      </c>
      <c r="I37" s="45">
        <v>0.0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2400.0</v>
      </c>
      <c r="I39" s="45">
        <v>2780.0</v>
      </c>
      <c r="J39" s="45">
        <f>H39-I39</f>
        <v>-380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1127</v>
      </c>
      <c r="D40" s="41">
        <f t="shared" si="13"/>
        <v>1109</v>
      </c>
      <c r="E40" s="41">
        <f t="shared" si="13"/>
        <v>0</v>
      </c>
      <c r="F40" s="1"/>
      <c r="G40" s="40" t="s">
        <v>60</v>
      </c>
      <c r="H40" s="43">
        <f t="shared" ref="H40:J40" si="14">sum(H36:H39)</f>
        <v>2400</v>
      </c>
      <c r="I40" s="46">
        <f t="shared" si="14"/>
        <v>2780</v>
      </c>
      <c r="J40" s="46">
        <f t="shared" si="14"/>
        <v>-380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6544</v>
      </c>
      <c r="D41" s="54">
        <f t="shared" si="15"/>
        <v>6570</v>
      </c>
      <c r="E41" s="55">
        <f t="shared" si="15"/>
        <v>-44</v>
      </c>
      <c r="F41" s="1"/>
      <c r="G41" s="18" t="s">
        <v>62</v>
      </c>
      <c r="H41" s="56">
        <f t="shared" ref="H41:J41" si="16">sum(H14,H21,H27,H34,H40)</f>
        <v>5107</v>
      </c>
      <c r="I41" s="57">
        <f t="shared" si="16"/>
        <v>6882</v>
      </c>
      <c r="J41" s="58">
        <f t="shared" si="16"/>
        <v>-1882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H1" s="1"/>
      <c r="I1" s="1"/>
      <c r="J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9000.0</v>
      </c>
      <c r="M7" s="28">
        <f>sum(D41,I41)</f>
        <v>15772</v>
      </c>
      <c r="N7" s="29">
        <f>L7-M7</f>
        <v>-6772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2500.0</v>
      </c>
      <c r="D9" s="33">
        <v>2500.0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67.0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0.0</v>
      </c>
      <c r="D10" s="33">
        <v>0.0</v>
      </c>
      <c r="E10" s="33">
        <f t="shared" si="1"/>
        <v>0</v>
      </c>
      <c r="F10" s="1"/>
      <c r="G10" s="32" t="s">
        <v>12</v>
      </c>
      <c r="H10" s="36">
        <v>86.0</v>
      </c>
      <c r="I10" s="35">
        <v>0.0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2500.0</v>
      </c>
      <c r="D11" s="33">
        <v>2531.0</v>
      </c>
      <c r="E11" s="33">
        <f t="shared" si="1"/>
        <v>-31</v>
      </c>
      <c r="F11" s="1"/>
      <c r="G11" s="32" t="s">
        <v>50</v>
      </c>
      <c r="H11" s="36">
        <v>700.0</v>
      </c>
      <c r="I11" s="35">
        <v>650.0</v>
      </c>
      <c r="J11" s="35">
        <v>0.0</v>
      </c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29.0</v>
      </c>
      <c r="J12" s="35">
        <f>H12-I12</f>
        <v>2</v>
      </c>
      <c r="K12" s="2"/>
      <c r="L12" s="38" t="s">
        <v>15</v>
      </c>
      <c r="M12" s="5"/>
      <c r="N12" s="39">
        <v>17840.0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5000</v>
      </c>
      <c r="D13" s="41">
        <f t="shared" si="2"/>
        <v>5031</v>
      </c>
      <c r="E13" s="41">
        <f t="shared" si="2"/>
        <v>-31</v>
      </c>
      <c r="F13" s="1"/>
      <c r="G13" s="32" t="s">
        <v>17</v>
      </c>
      <c r="H13" s="36">
        <v>0.0</v>
      </c>
      <c r="I13" s="35">
        <v>0.0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957</v>
      </c>
      <c r="I14" s="43">
        <f t="shared" si="3"/>
        <v>746</v>
      </c>
      <c r="J14" s="43">
        <f t="shared" si="3"/>
        <v>2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244.0</v>
      </c>
      <c r="D15" s="33">
        <v>244.0</v>
      </c>
      <c r="E15" s="33">
        <f t="shared" ref="E15:E17" si="4">C15-D15</f>
        <v>0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1400.0</v>
      </c>
      <c r="I16" s="45">
        <v>1700.0</v>
      </c>
      <c r="J16" s="45">
        <f t="shared" ref="J16:J20" si="5">H16-I16</f>
        <v>-300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0.0</v>
      </c>
      <c r="J17" s="45">
        <f t="shared" si="5"/>
        <v>0</v>
      </c>
      <c r="K17" s="2"/>
      <c r="L17" s="38" t="s">
        <v>24</v>
      </c>
      <c r="M17" s="5"/>
      <c r="N17" s="39">
        <f>N12-L7</f>
        <v>8840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13.0</v>
      </c>
      <c r="E18" s="33">
        <v>0.0</v>
      </c>
      <c r="F18" s="1"/>
      <c r="G18" s="32" t="s">
        <v>26</v>
      </c>
      <c r="H18" s="45">
        <v>150.0</v>
      </c>
      <c r="I18" s="45">
        <v>0.0</v>
      </c>
      <c r="J18" s="45">
        <f t="shared" si="5"/>
        <v>150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118.0</v>
      </c>
      <c r="E20" s="33">
        <v>0.0</v>
      </c>
      <c r="F20" s="1"/>
      <c r="G20" s="32" t="s">
        <v>30</v>
      </c>
      <c r="H20" s="45">
        <v>200.0</v>
      </c>
      <c r="I20" s="45">
        <v>331.0</v>
      </c>
      <c r="J20" s="45">
        <f t="shared" si="5"/>
        <v>-131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1750</v>
      </c>
      <c r="I21" s="46">
        <f t="shared" si="6"/>
        <v>2031</v>
      </c>
      <c r="J21" s="46">
        <f t="shared" si="6"/>
        <v>-281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2068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300.0</v>
      </c>
      <c r="I23" s="45">
        <v>155.0</v>
      </c>
      <c r="J23" s="45">
        <f t="shared" ref="J23:J26" si="8">H23-I23</f>
        <v>145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0.0</v>
      </c>
      <c r="I24" s="45">
        <v>0.0</v>
      </c>
      <c r="J24" s="45">
        <f t="shared" si="8"/>
        <v>0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0.0</v>
      </c>
      <c r="I26" s="45">
        <v>680.0</v>
      </c>
      <c r="J26" s="45">
        <f t="shared" si="8"/>
        <v>-680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300</v>
      </c>
      <c r="I27" s="46">
        <f t="shared" si="9"/>
        <v>835</v>
      </c>
      <c r="J27" s="46">
        <f t="shared" si="9"/>
        <v>-535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210.0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1000.0</v>
      </c>
      <c r="D29" s="33">
        <v>1150.0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>C30-D30</f>
        <v>0</v>
      </c>
      <c r="F30" s="1"/>
      <c r="G30" s="32" t="s">
        <v>66</v>
      </c>
      <c r="H30" s="45">
        <v>0.0</v>
      </c>
      <c r="I30" s="45">
        <v>0.0</v>
      </c>
      <c r="J30" s="45">
        <v>0.0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0.0</v>
      </c>
      <c r="E31" s="33">
        <v>0.0</v>
      </c>
      <c r="F31" s="1"/>
      <c r="G31" s="32" t="s">
        <v>51</v>
      </c>
      <c r="H31" s="45">
        <v>0.0</v>
      </c>
      <c r="I31" s="45">
        <v>38.0</v>
      </c>
      <c r="J31" s="45">
        <f t="shared" ref="J31:J33" si="10">H31-I31</f>
        <v>-38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 t="s">
        <v>67</v>
      </c>
      <c r="C32" s="44">
        <v>0.0</v>
      </c>
      <c r="D32" s="33">
        <v>56.0</v>
      </c>
      <c r="E32" s="33">
        <f t="shared" ref="E32:E39" si="11">C32-D32</f>
        <v>-56</v>
      </c>
      <c r="F32" s="1"/>
      <c r="G32" s="32" t="s">
        <v>52</v>
      </c>
      <c r="H32" s="45">
        <v>0.0</v>
      </c>
      <c r="I32" s="45">
        <v>0.0</v>
      </c>
      <c r="J32" s="45">
        <f t="shared" si="10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/>
      <c r="C33" s="44">
        <v>0.0</v>
      </c>
      <c r="D33" s="33">
        <v>0.0</v>
      </c>
      <c r="E33" s="33">
        <f t="shared" si="11"/>
        <v>0</v>
      </c>
      <c r="F33" s="1"/>
      <c r="G33" s="32" t="s">
        <v>53</v>
      </c>
      <c r="H33" s="45">
        <v>100.0</v>
      </c>
      <c r="I33" s="45">
        <v>0.0</v>
      </c>
      <c r="J33" s="45">
        <f t="shared" si="10"/>
        <v>100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100</v>
      </c>
      <c r="I34" s="46">
        <f t="shared" si="12"/>
        <v>38</v>
      </c>
      <c r="J34" s="46">
        <f t="shared" si="12"/>
        <v>62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0.0</v>
      </c>
      <c r="I37" s="45">
        <v>5300.0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0.0</v>
      </c>
      <c r="I39" s="45">
        <v>0.0</v>
      </c>
      <c r="J39" s="45">
        <f>H39-I39</f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1627</v>
      </c>
      <c r="D40" s="41">
        <f t="shared" si="13"/>
        <v>1791</v>
      </c>
      <c r="E40" s="41">
        <f t="shared" si="13"/>
        <v>-56</v>
      </c>
      <c r="F40" s="1"/>
      <c r="G40" s="40" t="s">
        <v>60</v>
      </c>
      <c r="H40" s="43">
        <f t="shared" ref="H40:J40" si="14">sum(H36:H39)</f>
        <v>0</v>
      </c>
      <c r="I40" s="46">
        <f t="shared" si="14"/>
        <v>5300</v>
      </c>
      <c r="J40" s="46">
        <f t="shared" si="14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6627</v>
      </c>
      <c r="D41" s="54">
        <f t="shared" si="15"/>
        <v>6822</v>
      </c>
      <c r="E41" s="55">
        <f t="shared" si="15"/>
        <v>-87</v>
      </c>
      <c r="F41" s="1"/>
      <c r="G41" s="18" t="s">
        <v>62</v>
      </c>
      <c r="H41" s="56">
        <f t="shared" ref="H41:J41" si="16">sum(H14,H21,H27,H34,H40)</f>
        <v>3107</v>
      </c>
      <c r="I41" s="57">
        <f t="shared" si="16"/>
        <v>8950</v>
      </c>
      <c r="J41" s="58">
        <f t="shared" si="16"/>
        <v>-752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H1" s="1"/>
      <c r="I1" s="1"/>
      <c r="J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11000.0</v>
      </c>
      <c r="M7" s="28">
        <f>sum(D41,I41)</f>
        <v>16993</v>
      </c>
      <c r="N7" s="29">
        <f>L7-M7</f>
        <v>-5993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2800.0</v>
      </c>
      <c r="D9" s="33">
        <v>2800.0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120.0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0.0</v>
      </c>
      <c r="D10" s="33">
        <v>0.0</v>
      </c>
      <c r="E10" s="33">
        <f t="shared" si="1"/>
        <v>0</v>
      </c>
      <c r="F10" s="1"/>
      <c r="G10" s="32" t="s">
        <v>12</v>
      </c>
      <c r="H10" s="36">
        <v>86.0</v>
      </c>
      <c r="I10" s="35">
        <v>0.0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3000.0</v>
      </c>
      <c r="D11" s="33">
        <v>3400.0</v>
      </c>
      <c r="E11" s="33">
        <f t="shared" si="1"/>
        <v>-400</v>
      </c>
      <c r="F11" s="1"/>
      <c r="G11" s="32" t="s">
        <v>50</v>
      </c>
      <c r="H11" s="36">
        <v>700.0</v>
      </c>
      <c r="I11" s="35">
        <v>763.0</v>
      </c>
      <c r="J11" s="35">
        <v>0.0</v>
      </c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0.0</v>
      </c>
      <c r="J12" s="35">
        <f>H12-I12</f>
        <v>31</v>
      </c>
      <c r="K12" s="2"/>
      <c r="L12" s="38" t="s">
        <v>15</v>
      </c>
      <c r="M12" s="5"/>
      <c r="N12" s="39">
        <v>16200.0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5800</v>
      </c>
      <c r="D13" s="41">
        <f t="shared" si="2"/>
        <v>6200</v>
      </c>
      <c r="E13" s="41">
        <f t="shared" si="2"/>
        <v>-400</v>
      </c>
      <c r="F13" s="1"/>
      <c r="G13" s="32" t="s">
        <v>17</v>
      </c>
      <c r="H13" s="36">
        <v>0.0</v>
      </c>
      <c r="I13" s="35">
        <v>0.0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957</v>
      </c>
      <c r="I14" s="43">
        <f t="shared" si="3"/>
        <v>883</v>
      </c>
      <c r="J14" s="43">
        <f t="shared" si="3"/>
        <v>31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244.0</v>
      </c>
      <c r="D15" s="33">
        <v>4879.0</v>
      </c>
      <c r="E15" s="33">
        <f t="shared" ref="E15:E17" si="4">C15-D15</f>
        <v>-4635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1400.0</v>
      </c>
      <c r="I16" s="45">
        <v>958.0</v>
      </c>
      <c r="J16" s="45">
        <f t="shared" ref="J16:J20" si="5">H16-I16</f>
        <v>442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1383.0</v>
      </c>
      <c r="J17" s="45">
        <f t="shared" si="5"/>
        <v>-1383</v>
      </c>
      <c r="K17" s="2"/>
      <c r="L17" s="38" t="s">
        <v>24</v>
      </c>
      <c r="M17" s="5"/>
      <c r="N17" s="39">
        <f>N12-L7</f>
        <v>5200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13.0</v>
      </c>
      <c r="E18" s="33">
        <v>0.0</v>
      </c>
      <c r="F18" s="1"/>
      <c r="G18" s="32" t="s">
        <v>26</v>
      </c>
      <c r="H18" s="45">
        <v>150.0</v>
      </c>
      <c r="I18" s="45">
        <v>0.0</v>
      </c>
      <c r="J18" s="45">
        <f t="shared" si="5"/>
        <v>150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118.0</v>
      </c>
      <c r="E20" s="33">
        <v>0.0</v>
      </c>
      <c r="F20" s="1"/>
      <c r="G20" s="32" t="s">
        <v>30</v>
      </c>
      <c r="H20" s="45">
        <v>200.0</v>
      </c>
      <c r="I20" s="45">
        <v>204.0</v>
      </c>
      <c r="J20" s="45">
        <f t="shared" si="5"/>
        <v>-4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1750</v>
      </c>
      <c r="I21" s="46">
        <f t="shared" si="6"/>
        <v>2545</v>
      </c>
      <c r="J21" s="46">
        <f t="shared" si="6"/>
        <v>-795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-793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300.0</v>
      </c>
      <c r="I23" s="45">
        <v>76.0</v>
      </c>
      <c r="J23" s="45">
        <f t="shared" ref="J23:J26" si="8">H23-I23</f>
        <v>224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600.0</v>
      </c>
      <c r="I24" s="45">
        <v>792.0</v>
      </c>
      <c r="J24" s="45">
        <f t="shared" si="8"/>
        <v>-192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1000.0</v>
      </c>
      <c r="I26" s="45">
        <v>668.0</v>
      </c>
      <c r="J26" s="45">
        <f t="shared" si="8"/>
        <v>332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1900</v>
      </c>
      <c r="I27" s="46">
        <f t="shared" si="9"/>
        <v>1536</v>
      </c>
      <c r="J27" s="46">
        <f t="shared" si="9"/>
        <v>364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0.0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1000.0</v>
      </c>
      <c r="D29" s="33">
        <v>200.0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>C30-D30</f>
        <v>0</v>
      </c>
      <c r="F30" s="1"/>
      <c r="G30" s="32" t="s">
        <v>66</v>
      </c>
      <c r="H30" s="45">
        <v>0.0</v>
      </c>
      <c r="I30" s="45">
        <v>0.0</v>
      </c>
      <c r="J30" s="45">
        <v>0.0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0.0</v>
      </c>
      <c r="E31" s="33">
        <v>0.0</v>
      </c>
      <c r="F31" s="1"/>
      <c r="G31" s="32" t="s">
        <v>51</v>
      </c>
      <c r="H31" s="45">
        <v>0.0</v>
      </c>
      <c r="I31" s="45">
        <v>0.0</v>
      </c>
      <c r="J31" s="45">
        <f t="shared" ref="J31:J33" si="10">H31-I31</f>
        <v>0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 t="s">
        <v>67</v>
      </c>
      <c r="C32" s="44">
        <v>0.0</v>
      </c>
      <c r="D32" s="33">
        <v>0.0</v>
      </c>
      <c r="E32" s="33">
        <f t="shared" ref="E32:E39" si="11">C32-D32</f>
        <v>0</v>
      </c>
      <c r="F32" s="1"/>
      <c r="G32" s="32" t="s">
        <v>52</v>
      </c>
      <c r="H32" s="45">
        <v>0.0</v>
      </c>
      <c r="I32" s="45">
        <v>500.0</v>
      </c>
      <c r="J32" s="45">
        <f t="shared" si="10"/>
        <v>-500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 t="s">
        <v>68</v>
      </c>
      <c r="C33" s="44">
        <v>0.0</v>
      </c>
      <c r="D33" s="33">
        <v>119.0</v>
      </c>
      <c r="E33" s="33">
        <f t="shared" si="11"/>
        <v>-119</v>
      </c>
      <c r="F33" s="1"/>
      <c r="G33" s="32" t="s">
        <v>53</v>
      </c>
      <c r="H33" s="45">
        <v>100.0</v>
      </c>
      <c r="I33" s="45">
        <v>0.0</v>
      </c>
      <c r="J33" s="45">
        <f t="shared" si="10"/>
        <v>100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100</v>
      </c>
      <c r="I34" s="46">
        <f t="shared" si="12"/>
        <v>500</v>
      </c>
      <c r="J34" s="46">
        <f t="shared" si="12"/>
        <v>-400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0.0</v>
      </c>
      <c r="I37" s="45">
        <v>0.0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0.0</v>
      </c>
      <c r="I39" s="45">
        <v>0.0</v>
      </c>
      <c r="J39" s="45">
        <f>H39-I39</f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1627</v>
      </c>
      <c r="D40" s="41">
        <f t="shared" si="13"/>
        <v>5329</v>
      </c>
      <c r="E40" s="41">
        <f t="shared" si="13"/>
        <v>-4754</v>
      </c>
      <c r="F40" s="1"/>
      <c r="G40" s="40" t="s">
        <v>60</v>
      </c>
      <c r="H40" s="43">
        <f t="shared" ref="H40:J40" si="14">sum(H36:H39)</f>
        <v>0</v>
      </c>
      <c r="I40" s="46">
        <f t="shared" si="14"/>
        <v>0</v>
      </c>
      <c r="J40" s="46">
        <f t="shared" si="14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7427</v>
      </c>
      <c r="D41" s="54">
        <f t="shared" si="15"/>
        <v>11529</v>
      </c>
      <c r="E41" s="55">
        <f t="shared" si="15"/>
        <v>-5154</v>
      </c>
      <c r="F41" s="1"/>
      <c r="G41" s="18" t="s">
        <v>62</v>
      </c>
      <c r="H41" s="56">
        <f t="shared" ref="H41:J41" si="16">sum(H14,H21,H27,H34,H40)</f>
        <v>4707</v>
      </c>
      <c r="I41" s="57">
        <f t="shared" si="16"/>
        <v>5464</v>
      </c>
      <c r="J41" s="58">
        <f t="shared" si="16"/>
        <v>-800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2.75"/>
    <col customWidth="1" min="3" max="6" width="16.75"/>
    <col customWidth="1" min="7" max="7" width="22.75"/>
    <col customWidth="1" min="8" max="10" width="16.75"/>
    <col customWidth="1" min="12" max="14" width="15.75"/>
  </cols>
  <sheetData>
    <row r="1">
      <c r="A1" s="1"/>
      <c r="B1" s="1"/>
      <c r="C1" s="1"/>
      <c r="D1" s="1"/>
      <c r="E1" s="1"/>
      <c r="H1" s="1"/>
      <c r="I1" s="1"/>
      <c r="J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9"/>
      <c r="C5" s="10"/>
      <c r="D5" s="10"/>
      <c r="E5" s="10"/>
      <c r="F5" s="10"/>
      <c r="G5" s="10"/>
      <c r="H5" s="10"/>
      <c r="I5" s="10"/>
      <c r="J5" s="11"/>
      <c r="L5" s="12" t="s">
        <v>1</v>
      </c>
      <c r="M5" s="13"/>
      <c r="N5" s="1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/>
      <c r="B6" s="16" t="s">
        <v>2</v>
      </c>
      <c r="C6" s="13"/>
      <c r="D6" s="13"/>
      <c r="E6" s="14"/>
      <c r="F6" s="1"/>
      <c r="G6" s="16" t="s">
        <v>3</v>
      </c>
      <c r="H6" s="13"/>
      <c r="I6" s="13"/>
      <c r="J6" s="14"/>
      <c r="K6" s="2"/>
      <c r="L6" s="17" t="s">
        <v>4</v>
      </c>
      <c r="M6" s="18" t="s">
        <v>5</v>
      </c>
      <c r="N6" s="19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20"/>
      <c r="B7" s="21" t="s">
        <v>7</v>
      </c>
      <c r="C7" s="22" t="s">
        <v>4</v>
      </c>
      <c r="D7" s="23" t="s">
        <v>5</v>
      </c>
      <c r="E7" s="24" t="s">
        <v>6</v>
      </c>
      <c r="F7" s="1"/>
      <c r="G7" s="25" t="s">
        <v>7</v>
      </c>
      <c r="H7" s="26" t="s">
        <v>4</v>
      </c>
      <c r="I7" s="25" t="s">
        <v>5</v>
      </c>
      <c r="J7" s="24" t="s">
        <v>6</v>
      </c>
      <c r="K7" s="2"/>
      <c r="L7" s="63">
        <v>11000.0</v>
      </c>
      <c r="M7" s="28">
        <f>sum(D41,I41)</f>
        <v>2800</v>
      </c>
      <c r="N7" s="29">
        <f>L7-M7</f>
        <v>8200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/>
      <c r="B8" s="30" t="s">
        <v>8</v>
      </c>
      <c r="C8" s="13"/>
      <c r="D8" s="13"/>
      <c r="E8" s="14"/>
      <c r="F8" s="1"/>
      <c r="G8" s="30" t="s">
        <v>8</v>
      </c>
      <c r="H8" s="13"/>
      <c r="I8" s="13"/>
      <c r="J8" s="14"/>
      <c r="K8" s="2"/>
      <c r="L8" s="31"/>
      <c r="M8" s="31"/>
      <c r="N8" s="3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32" t="s">
        <v>9</v>
      </c>
      <c r="C9" s="33">
        <v>2800.0</v>
      </c>
      <c r="D9" s="33">
        <v>2800.0</v>
      </c>
      <c r="E9" s="33">
        <f t="shared" ref="E9:E12" si="1">C9-D9</f>
        <v>0</v>
      </c>
      <c r="F9" s="1"/>
      <c r="G9" s="34" t="s">
        <v>10</v>
      </c>
      <c r="H9" s="35">
        <v>140.0</v>
      </c>
      <c r="I9" s="35">
        <v>0.0</v>
      </c>
      <c r="J9" s="35">
        <v>0.0</v>
      </c>
      <c r="K9" s="2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32" t="s">
        <v>11</v>
      </c>
      <c r="C10" s="33">
        <v>410.0</v>
      </c>
      <c r="D10" s="33">
        <v>0.0</v>
      </c>
      <c r="E10" s="33">
        <f t="shared" si="1"/>
        <v>410</v>
      </c>
      <c r="F10" s="1"/>
      <c r="G10" s="32" t="s">
        <v>12</v>
      </c>
      <c r="H10" s="36">
        <v>86.0</v>
      </c>
      <c r="I10" s="35">
        <v>0.0</v>
      </c>
      <c r="J10" s="35">
        <v>0.0</v>
      </c>
      <c r="K10" s="2"/>
      <c r="L10" s="1"/>
      <c r="M10" s="1"/>
      <c r="N10" s="1"/>
      <c r="O10" s="2"/>
      <c r="P10" s="3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/>
      <c r="B11" s="32" t="s">
        <v>63</v>
      </c>
      <c r="C11" s="33">
        <v>3000.0</v>
      </c>
      <c r="D11" s="33">
        <v>0.0</v>
      </c>
      <c r="E11" s="33">
        <f t="shared" si="1"/>
        <v>3000</v>
      </c>
      <c r="F11" s="1"/>
      <c r="G11" s="32" t="s">
        <v>50</v>
      </c>
      <c r="H11" s="36">
        <v>700.0</v>
      </c>
      <c r="I11" s="35">
        <v>0.0</v>
      </c>
      <c r="J11" s="35">
        <v>0.0</v>
      </c>
      <c r="K11" s="2"/>
      <c r="L11" s="64"/>
      <c r="M11" s="64"/>
      <c r="N11" s="65"/>
      <c r="O11" s="2"/>
      <c r="P11" s="3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/>
      <c r="B12" s="32" t="s">
        <v>13</v>
      </c>
      <c r="C12" s="33">
        <v>0.0</v>
      </c>
      <c r="D12" s="33">
        <v>0.0</v>
      </c>
      <c r="E12" s="33">
        <f t="shared" si="1"/>
        <v>0</v>
      </c>
      <c r="F12" s="1"/>
      <c r="G12" s="32" t="s">
        <v>14</v>
      </c>
      <c r="H12" s="36">
        <v>31.0</v>
      </c>
      <c r="I12" s="35">
        <v>0.0</v>
      </c>
      <c r="J12" s="35">
        <f>H12-I12</f>
        <v>31</v>
      </c>
      <c r="K12" s="2"/>
      <c r="L12" s="38" t="s">
        <v>15</v>
      </c>
      <c r="M12" s="5"/>
      <c r="N12" s="39">
        <v>15100.0</v>
      </c>
      <c r="O12" s="2"/>
      <c r="P12" s="3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/>
      <c r="B13" s="40" t="s">
        <v>16</v>
      </c>
      <c r="C13" s="41">
        <f t="shared" ref="C13:E13" si="2">sum(C9:C12)</f>
        <v>6210</v>
      </c>
      <c r="D13" s="41">
        <f t="shared" si="2"/>
        <v>2800</v>
      </c>
      <c r="E13" s="41">
        <f t="shared" si="2"/>
        <v>3410</v>
      </c>
      <c r="F13" s="1"/>
      <c r="G13" s="32" t="s">
        <v>17</v>
      </c>
      <c r="H13" s="36">
        <v>0.0</v>
      </c>
      <c r="I13" s="35">
        <v>0.0</v>
      </c>
      <c r="J13" s="35">
        <v>0.0</v>
      </c>
      <c r="K13" s="2"/>
      <c r="L13" s="6"/>
      <c r="M13" s="7"/>
      <c r="N13" s="4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/>
      <c r="B14" s="30" t="s">
        <v>18</v>
      </c>
      <c r="C14" s="13"/>
      <c r="D14" s="13"/>
      <c r="E14" s="14"/>
      <c r="F14" s="1"/>
      <c r="G14" s="40" t="s">
        <v>16</v>
      </c>
      <c r="H14" s="43">
        <f t="shared" ref="H14:J14" si="3">sum(H9:H13)</f>
        <v>957</v>
      </c>
      <c r="I14" s="43">
        <f t="shared" si="3"/>
        <v>0</v>
      </c>
      <c r="J14" s="43">
        <f t="shared" si="3"/>
        <v>31</v>
      </c>
      <c r="K14" s="2"/>
      <c r="L14" s="9"/>
      <c r="M14" s="11"/>
      <c r="N14" s="3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/>
      <c r="B15" s="32" t="s">
        <v>19</v>
      </c>
      <c r="C15" s="44">
        <v>244.0</v>
      </c>
      <c r="D15" s="33">
        <v>0.0</v>
      </c>
      <c r="E15" s="33">
        <f t="shared" ref="E15:E17" si="4">C15-D15</f>
        <v>244</v>
      </c>
      <c r="F15" s="1"/>
      <c r="G15" s="30" t="s">
        <v>18</v>
      </c>
      <c r="H15" s="13"/>
      <c r="I15" s="13"/>
      <c r="J15" s="14"/>
      <c r="K15" s="2"/>
      <c r="L15" s="1"/>
      <c r="M15" s="1"/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"/>
      <c r="B16" s="32" t="s">
        <v>20</v>
      </c>
      <c r="C16" s="44">
        <v>0.0</v>
      </c>
      <c r="D16" s="33">
        <v>0.0</v>
      </c>
      <c r="E16" s="33">
        <f t="shared" si="4"/>
        <v>0</v>
      </c>
      <c r="F16" s="1"/>
      <c r="G16" s="32" t="s">
        <v>21</v>
      </c>
      <c r="H16" s="45">
        <v>1400.0</v>
      </c>
      <c r="I16" s="45">
        <v>0.0</v>
      </c>
      <c r="J16" s="45">
        <f t="shared" ref="J16:J20" si="5">H16-I16</f>
        <v>1400</v>
      </c>
      <c r="K16" s="2"/>
      <c r="L16" s="1"/>
      <c r="M16" s="1"/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/>
      <c r="B17" s="32" t="s">
        <v>22</v>
      </c>
      <c r="C17" s="44">
        <v>0.0</v>
      </c>
      <c r="D17" s="33">
        <v>0.0</v>
      </c>
      <c r="E17" s="33">
        <f t="shared" si="4"/>
        <v>0</v>
      </c>
      <c r="F17" s="1"/>
      <c r="G17" s="32" t="s">
        <v>23</v>
      </c>
      <c r="H17" s="45">
        <v>0.0</v>
      </c>
      <c r="I17" s="45">
        <v>0.0</v>
      </c>
      <c r="J17" s="45">
        <f t="shared" si="5"/>
        <v>0</v>
      </c>
      <c r="K17" s="2"/>
      <c r="L17" s="38" t="s">
        <v>24</v>
      </c>
      <c r="M17" s="5"/>
      <c r="N17" s="39">
        <f>N12-L7</f>
        <v>4100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"/>
      <c r="B18" s="32" t="s">
        <v>25</v>
      </c>
      <c r="C18" s="44">
        <v>13.0</v>
      </c>
      <c r="D18" s="33">
        <v>0.0</v>
      </c>
      <c r="E18" s="33">
        <v>0.0</v>
      </c>
      <c r="F18" s="1"/>
      <c r="G18" s="32" t="s">
        <v>26</v>
      </c>
      <c r="H18" s="45">
        <v>150.0</v>
      </c>
      <c r="I18" s="45">
        <v>0.0</v>
      </c>
      <c r="J18" s="45">
        <f t="shared" si="5"/>
        <v>150</v>
      </c>
      <c r="K18" s="2"/>
      <c r="L18" s="6"/>
      <c r="M18" s="7"/>
      <c r="N18" s="4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/>
      <c r="B19" s="32" t="s">
        <v>27</v>
      </c>
      <c r="C19" s="44">
        <v>0.0</v>
      </c>
      <c r="D19" s="33">
        <v>0.0</v>
      </c>
      <c r="E19" s="33">
        <f>C19-D19</f>
        <v>0</v>
      </c>
      <c r="F19" s="1"/>
      <c r="G19" s="32" t="s">
        <v>28</v>
      </c>
      <c r="H19" s="45">
        <v>0.0</v>
      </c>
      <c r="I19" s="45">
        <v>0.0</v>
      </c>
      <c r="J19" s="45">
        <f t="shared" si="5"/>
        <v>0</v>
      </c>
      <c r="K19" s="2"/>
      <c r="L19" s="9"/>
      <c r="M19" s="11"/>
      <c r="N19" s="3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"/>
      <c r="B20" s="32" t="s">
        <v>29</v>
      </c>
      <c r="C20" s="44">
        <v>120.0</v>
      </c>
      <c r="D20" s="33">
        <v>0.0</v>
      </c>
      <c r="E20" s="33">
        <v>0.0</v>
      </c>
      <c r="F20" s="1"/>
      <c r="G20" s="32" t="s">
        <v>30</v>
      </c>
      <c r="H20" s="45">
        <v>200.0</v>
      </c>
      <c r="I20" s="45">
        <v>0.0</v>
      </c>
      <c r="J20" s="45">
        <f t="shared" si="5"/>
        <v>200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/>
      <c r="B21" s="32" t="s">
        <v>31</v>
      </c>
      <c r="C21" s="44">
        <v>0.0</v>
      </c>
      <c r="D21" s="33">
        <v>0.0</v>
      </c>
      <c r="E21" s="33">
        <f t="shared" ref="E21:E27" si="7">C21-D21</f>
        <v>0</v>
      </c>
      <c r="F21" s="1"/>
      <c r="G21" s="40" t="s">
        <v>32</v>
      </c>
      <c r="H21" s="46">
        <f t="shared" ref="H21:J21" si="6">sum(H16:H20)</f>
        <v>1750</v>
      </c>
      <c r="I21" s="46">
        <f t="shared" si="6"/>
        <v>0</v>
      </c>
      <c r="J21" s="46">
        <f t="shared" si="6"/>
        <v>1750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"/>
      <c r="B22" s="32" t="s">
        <v>33</v>
      </c>
      <c r="C22" s="44">
        <v>0.0</v>
      </c>
      <c r="D22" s="33">
        <v>0.0</v>
      </c>
      <c r="E22" s="33">
        <f t="shared" si="7"/>
        <v>0</v>
      </c>
      <c r="F22" s="1"/>
      <c r="G22" s="30" t="s">
        <v>34</v>
      </c>
      <c r="H22" s="13"/>
      <c r="I22" s="13"/>
      <c r="J22" s="14"/>
      <c r="K22" s="2"/>
      <c r="L22" s="38" t="s">
        <v>35</v>
      </c>
      <c r="M22" s="5"/>
      <c r="N22" s="39">
        <f>N12-M7</f>
        <v>12300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/>
      <c r="B23" s="32" t="s">
        <v>36</v>
      </c>
      <c r="C23" s="44">
        <v>0.0</v>
      </c>
      <c r="D23" s="33">
        <v>0.0</v>
      </c>
      <c r="E23" s="33">
        <f t="shared" si="7"/>
        <v>0</v>
      </c>
      <c r="F23" s="1"/>
      <c r="G23" s="32" t="s">
        <v>37</v>
      </c>
      <c r="H23" s="45">
        <v>300.0</v>
      </c>
      <c r="I23" s="45">
        <v>0.0</v>
      </c>
      <c r="J23" s="45">
        <f t="shared" ref="J23:J26" si="8">H23-I23</f>
        <v>300</v>
      </c>
      <c r="K23" s="2"/>
      <c r="L23" s="6"/>
      <c r="M23" s="7"/>
      <c r="N23" s="4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"/>
      <c r="B24" s="32" t="s">
        <v>38</v>
      </c>
      <c r="C24" s="44">
        <v>0.0</v>
      </c>
      <c r="D24" s="33">
        <v>0.0</v>
      </c>
      <c r="E24" s="33">
        <f t="shared" si="7"/>
        <v>0</v>
      </c>
      <c r="F24" s="1"/>
      <c r="G24" s="32" t="s">
        <v>39</v>
      </c>
      <c r="H24" s="45">
        <v>600.0</v>
      </c>
      <c r="I24" s="45">
        <v>0.0</v>
      </c>
      <c r="J24" s="45">
        <f t="shared" si="8"/>
        <v>600</v>
      </c>
      <c r="K24" s="2"/>
      <c r="L24" s="9"/>
      <c r="M24" s="11"/>
      <c r="N24" s="3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/>
      <c r="B25" s="32" t="s">
        <v>40</v>
      </c>
      <c r="C25" s="44">
        <v>0.0</v>
      </c>
      <c r="D25" s="33">
        <v>0.0</v>
      </c>
      <c r="E25" s="33">
        <f t="shared" si="7"/>
        <v>0</v>
      </c>
      <c r="F25" s="1"/>
      <c r="G25" s="32" t="s">
        <v>41</v>
      </c>
      <c r="H25" s="45">
        <v>0.0</v>
      </c>
      <c r="I25" s="45">
        <v>0.0</v>
      </c>
      <c r="J25" s="45">
        <f t="shared" si="8"/>
        <v>0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"/>
      <c r="B26" s="32" t="s">
        <v>42</v>
      </c>
      <c r="C26" s="44">
        <v>0.0</v>
      </c>
      <c r="D26" s="33">
        <v>0.0</v>
      </c>
      <c r="E26" s="33">
        <f t="shared" si="7"/>
        <v>0</v>
      </c>
      <c r="F26" s="1"/>
      <c r="G26" s="32" t="s">
        <v>43</v>
      </c>
      <c r="H26" s="45">
        <v>0.0</v>
      </c>
      <c r="I26" s="45">
        <v>0.0</v>
      </c>
      <c r="J26" s="45">
        <f t="shared" si="8"/>
        <v>0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/>
      <c r="B27" s="32" t="s">
        <v>44</v>
      </c>
      <c r="C27" s="44">
        <v>0.0</v>
      </c>
      <c r="D27" s="33">
        <v>0.0</v>
      </c>
      <c r="E27" s="33">
        <f t="shared" si="7"/>
        <v>0</v>
      </c>
      <c r="F27" s="1"/>
      <c r="G27" s="40" t="s">
        <v>45</v>
      </c>
      <c r="H27" s="46">
        <f t="shared" ref="H27:J27" si="9">sum(H23:H26)</f>
        <v>900</v>
      </c>
      <c r="I27" s="46">
        <f t="shared" si="9"/>
        <v>0</v>
      </c>
      <c r="J27" s="46">
        <f t="shared" si="9"/>
        <v>900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32" t="s">
        <v>46</v>
      </c>
      <c r="C28" s="44">
        <v>250.0</v>
      </c>
      <c r="D28" s="33">
        <v>0.0</v>
      </c>
      <c r="E28" s="33">
        <v>0.0</v>
      </c>
      <c r="F28" s="1"/>
      <c r="G28" s="30" t="s">
        <v>47</v>
      </c>
      <c r="H28" s="13"/>
      <c r="I28" s="13"/>
      <c r="J28" s="14"/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32" t="s">
        <v>49</v>
      </c>
      <c r="C29" s="44">
        <v>1000.0</v>
      </c>
      <c r="D29" s="33">
        <v>0.0</v>
      </c>
      <c r="E29" s="33">
        <v>0.0</v>
      </c>
      <c r="F29" s="1"/>
      <c r="G29" s="32" t="s">
        <v>48</v>
      </c>
      <c r="H29" s="45">
        <v>0.0</v>
      </c>
      <c r="I29" s="45">
        <v>0.0</v>
      </c>
      <c r="J29" s="45">
        <f>H29-I29</f>
        <v>0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32" t="s">
        <v>64</v>
      </c>
      <c r="C30" s="44">
        <v>0.0</v>
      </c>
      <c r="D30" s="33">
        <v>0.0</v>
      </c>
      <c r="E30" s="33">
        <f>C30-D30</f>
        <v>0</v>
      </c>
      <c r="F30" s="1"/>
      <c r="G30" s="32" t="s">
        <v>66</v>
      </c>
      <c r="H30" s="45">
        <v>0.0</v>
      </c>
      <c r="I30" s="45">
        <v>0.0</v>
      </c>
      <c r="J30" s="45">
        <v>0.0</v>
      </c>
      <c r="K30" s="2"/>
      <c r="L30" s="48"/>
      <c r="M30" s="48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32" t="s">
        <v>65</v>
      </c>
      <c r="C31" s="44">
        <v>0.0</v>
      </c>
      <c r="D31" s="33">
        <v>0.0</v>
      </c>
      <c r="E31" s="33">
        <v>0.0</v>
      </c>
      <c r="F31" s="1"/>
      <c r="G31" s="32" t="s">
        <v>51</v>
      </c>
      <c r="H31" s="45">
        <v>0.0</v>
      </c>
      <c r="I31" s="45">
        <v>0.0</v>
      </c>
      <c r="J31" s="45">
        <f t="shared" ref="J31:J33" si="10">H31-I31</f>
        <v>0</v>
      </c>
      <c r="K31" s="2"/>
      <c r="L31" s="48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32" t="s">
        <v>67</v>
      </c>
      <c r="C32" s="44">
        <v>0.0</v>
      </c>
      <c r="D32" s="33">
        <v>0.0</v>
      </c>
      <c r="E32" s="33">
        <f t="shared" ref="E32:E39" si="11">C32-D32</f>
        <v>0</v>
      </c>
      <c r="F32" s="1"/>
      <c r="G32" s="32" t="s">
        <v>52</v>
      </c>
      <c r="H32" s="45">
        <v>0.0</v>
      </c>
      <c r="I32" s="45">
        <v>0.0</v>
      </c>
      <c r="J32" s="45">
        <f t="shared" si="10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32" t="s">
        <v>68</v>
      </c>
      <c r="C33" s="44">
        <v>0.0</v>
      </c>
      <c r="D33" s="33">
        <v>0.0</v>
      </c>
      <c r="E33" s="33">
        <f t="shared" si="11"/>
        <v>0</v>
      </c>
      <c r="F33" s="1"/>
      <c r="G33" s="32" t="s">
        <v>53</v>
      </c>
      <c r="H33" s="45">
        <v>100.0</v>
      </c>
      <c r="I33" s="45">
        <v>0.0</v>
      </c>
      <c r="J33" s="45">
        <f t="shared" si="10"/>
        <v>100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7"/>
      <c r="B34" s="32"/>
      <c r="C34" s="44">
        <v>0.0</v>
      </c>
      <c r="D34" s="33">
        <v>0.0</v>
      </c>
      <c r="E34" s="33">
        <f t="shared" si="11"/>
        <v>0</v>
      </c>
      <c r="F34" s="1"/>
      <c r="G34" s="40" t="s">
        <v>54</v>
      </c>
      <c r="H34" s="46">
        <f t="shared" ref="H34:J34" si="12">sum(H29:H33)</f>
        <v>100</v>
      </c>
      <c r="I34" s="46">
        <f t="shared" si="12"/>
        <v>0</v>
      </c>
      <c r="J34" s="46">
        <f t="shared" si="12"/>
        <v>100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7"/>
      <c r="B35" s="32"/>
      <c r="C35" s="44">
        <v>0.0</v>
      </c>
      <c r="D35" s="33">
        <v>0.0</v>
      </c>
      <c r="E35" s="33">
        <f t="shared" si="11"/>
        <v>0</v>
      </c>
      <c r="F35" s="1"/>
      <c r="G35" s="30" t="s">
        <v>55</v>
      </c>
      <c r="H35" s="13"/>
      <c r="I35" s="13"/>
      <c r="J35" s="1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7"/>
      <c r="B36" s="32"/>
      <c r="C36" s="44">
        <v>0.0</v>
      </c>
      <c r="D36" s="33">
        <v>0.0</v>
      </c>
      <c r="E36" s="33">
        <f t="shared" si="11"/>
        <v>0</v>
      </c>
      <c r="F36" s="1"/>
      <c r="G36" s="32" t="s">
        <v>56</v>
      </c>
      <c r="H36" s="36">
        <v>0.0</v>
      </c>
      <c r="I36" s="45">
        <v>0.0</v>
      </c>
      <c r="J36" s="45">
        <f>H36-I36</f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7"/>
      <c r="B37" s="49"/>
      <c r="C37" s="44">
        <v>0.0</v>
      </c>
      <c r="D37" s="33">
        <v>0.0</v>
      </c>
      <c r="E37" s="33">
        <f t="shared" si="11"/>
        <v>0</v>
      </c>
      <c r="F37" s="1"/>
      <c r="G37" s="32" t="s">
        <v>57</v>
      </c>
      <c r="H37" s="50">
        <v>0.0</v>
      </c>
      <c r="I37" s="45">
        <v>0.0</v>
      </c>
      <c r="J37" s="4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7"/>
      <c r="B38" s="49"/>
      <c r="C38" s="44">
        <v>0.0</v>
      </c>
      <c r="D38" s="33">
        <v>0.0</v>
      </c>
      <c r="E38" s="33">
        <f t="shared" si="11"/>
        <v>0</v>
      </c>
      <c r="F38" s="1"/>
      <c r="G38" s="32" t="s">
        <v>58</v>
      </c>
      <c r="H38" s="50">
        <v>0.0</v>
      </c>
      <c r="I38" s="45">
        <v>0.0</v>
      </c>
      <c r="J38" s="4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7"/>
      <c r="B39" s="49"/>
      <c r="C39" s="44">
        <v>0.0</v>
      </c>
      <c r="D39" s="33">
        <v>0.0</v>
      </c>
      <c r="E39" s="33">
        <f t="shared" si="11"/>
        <v>0</v>
      </c>
      <c r="F39" s="1"/>
      <c r="G39" s="32" t="s">
        <v>59</v>
      </c>
      <c r="H39" s="50">
        <v>0.0</v>
      </c>
      <c r="I39" s="45">
        <v>0.0</v>
      </c>
      <c r="J39" s="45">
        <f>H39-I39</f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7"/>
      <c r="B40" s="40" t="s">
        <v>32</v>
      </c>
      <c r="C40" s="51">
        <f t="shared" ref="C40:E40" si="13">sum(C15:C39)</f>
        <v>1627</v>
      </c>
      <c r="D40" s="41">
        <f t="shared" si="13"/>
        <v>0</v>
      </c>
      <c r="E40" s="41">
        <f t="shared" si="13"/>
        <v>244</v>
      </c>
      <c r="F40" s="1"/>
      <c r="G40" s="40" t="s">
        <v>60</v>
      </c>
      <c r="H40" s="43">
        <f t="shared" ref="H40:J40" si="14">sum(H36:H39)</f>
        <v>0</v>
      </c>
      <c r="I40" s="46">
        <f t="shared" si="14"/>
        <v>0</v>
      </c>
      <c r="J40" s="46">
        <f t="shared" si="14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57.75" customHeight="1">
      <c r="A41" s="20"/>
      <c r="B41" s="52" t="s">
        <v>61</v>
      </c>
      <c r="C41" s="53">
        <f t="shared" ref="C41:E41" si="15">sum(C13,C40)</f>
        <v>7837</v>
      </c>
      <c r="D41" s="54">
        <f t="shared" si="15"/>
        <v>2800</v>
      </c>
      <c r="E41" s="55">
        <f t="shared" si="15"/>
        <v>3654</v>
      </c>
      <c r="F41" s="1"/>
      <c r="G41" s="18" t="s">
        <v>62</v>
      </c>
      <c r="H41" s="56">
        <f t="shared" ref="H41:J41" si="16">sum(H14,H21,H27,H34,H40)</f>
        <v>3707</v>
      </c>
      <c r="I41" s="57">
        <f t="shared" si="16"/>
        <v>0</v>
      </c>
      <c r="J41" s="58">
        <f t="shared" si="16"/>
        <v>2781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59"/>
      <c r="C42" s="59"/>
      <c r="D42" s="59"/>
      <c r="E42" s="59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E45" s="2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E46" s="2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E47" s="2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E48" s="2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E49" s="2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E50" s="2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E51" s="2"/>
      <c r="F51" s="1"/>
      <c r="G51" s="60"/>
      <c r="H51" s="60"/>
      <c r="I51" s="60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E52" s="2"/>
      <c r="F52" s="1"/>
      <c r="G52" s="15"/>
      <c r="H52" s="15"/>
      <c r="I52" s="15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E53" s="2"/>
      <c r="F53" s="1"/>
      <c r="G53" s="61"/>
      <c r="H53" s="61"/>
      <c r="I53" s="6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E54" s="2"/>
      <c r="F54" s="1"/>
      <c r="G54" s="61"/>
      <c r="H54" s="61"/>
      <c r="I54" s="6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E55" s="2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E56" s="2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E57" s="2"/>
      <c r="F57" s="1"/>
      <c r="G57" s="62"/>
      <c r="H57" s="62"/>
      <c r="I57" s="6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E58" s="2"/>
      <c r="F58" s="1"/>
      <c r="G58" s="62"/>
      <c r="H58" s="62"/>
      <c r="I58" s="6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62"/>
      <c r="C59" s="62"/>
      <c r="D59" s="61"/>
      <c r="E59" s="2"/>
      <c r="F59" s="1"/>
      <c r="G59" s="62"/>
      <c r="H59" s="62"/>
      <c r="I59" s="6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62"/>
      <c r="C60" s="62"/>
      <c r="D60" s="61"/>
      <c r="E60" s="2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62"/>
      <c r="C61" s="62"/>
      <c r="D61" s="61"/>
      <c r="E61" s="2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62"/>
      <c r="H62" s="62"/>
      <c r="I62" s="6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62"/>
      <c r="H63" s="62"/>
      <c r="I63" s="6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62"/>
      <c r="H64" s="62"/>
      <c r="I64" s="6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20">
    <mergeCell ref="B3:J5"/>
    <mergeCell ref="L5:N5"/>
    <mergeCell ref="B6:E6"/>
    <mergeCell ref="G6:J6"/>
    <mergeCell ref="L7:L8"/>
    <mergeCell ref="M7:M8"/>
    <mergeCell ref="N7:N8"/>
    <mergeCell ref="G15:J15"/>
    <mergeCell ref="G22:J22"/>
    <mergeCell ref="L22:M24"/>
    <mergeCell ref="N22:N24"/>
    <mergeCell ref="G28:J28"/>
    <mergeCell ref="G35:J35"/>
    <mergeCell ref="B8:E8"/>
    <mergeCell ref="G8:J8"/>
    <mergeCell ref="L12:M14"/>
    <mergeCell ref="N12:N14"/>
    <mergeCell ref="B14:E14"/>
    <mergeCell ref="L17:M19"/>
    <mergeCell ref="N17:N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7" t="s">
        <v>69</v>
      </c>
      <c r="O4" s="5"/>
      <c r="P4" s="66"/>
      <c r="Q4" s="67" t="s">
        <v>70</v>
      </c>
      <c r="R4" s="5"/>
      <c r="S4" s="66"/>
      <c r="T4" s="66"/>
      <c r="U4" s="66"/>
      <c r="V4" s="66"/>
      <c r="W4" s="66"/>
      <c r="X4" s="66"/>
      <c r="Y4" s="66"/>
      <c r="Z4" s="66"/>
    </row>
    <row r="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"/>
      <c r="O5" s="7"/>
      <c r="P5" s="66"/>
      <c r="Q5" s="6"/>
      <c r="R5" s="7"/>
      <c r="S5" s="66"/>
      <c r="T5" s="66"/>
      <c r="U5" s="66"/>
      <c r="V5" s="66"/>
      <c r="W5" s="66"/>
      <c r="X5" s="66"/>
      <c r="Y5" s="66"/>
      <c r="Z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9"/>
      <c r="O6" s="11"/>
      <c r="P6" s="66"/>
      <c r="Q6" s="9"/>
      <c r="R6" s="11"/>
      <c r="S6" s="66"/>
      <c r="T6" s="66"/>
      <c r="U6" s="66"/>
      <c r="V6" s="66"/>
      <c r="W6" s="66"/>
      <c r="X6" s="66"/>
      <c r="Y6" s="66"/>
      <c r="Z6" s="66"/>
    </row>
    <row r="7">
      <c r="A7" s="66"/>
      <c r="B7" s="66"/>
      <c r="C7" s="66"/>
      <c r="D7" s="68" t="s">
        <v>71</v>
      </c>
      <c r="E7" s="14"/>
      <c r="F7" s="69" t="s">
        <v>72</v>
      </c>
      <c r="G7" s="69" t="s">
        <v>7</v>
      </c>
      <c r="H7" s="66"/>
      <c r="I7" s="66"/>
      <c r="J7" s="66"/>
      <c r="K7" s="66"/>
      <c r="L7" s="66"/>
      <c r="M7" s="66"/>
      <c r="N7" s="70" t="str">
        <f>average(F8:F19)</f>
        <v>#REF!</v>
      </c>
      <c r="O7" s="5"/>
      <c r="P7" s="66"/>
      <c r="Q7" s="70" t="str">
        <f>average(G8:G19)</f>
        <v>#REF!</v>
      </c>
      <c r="R7" s="5"/>
      <c r="S7" s="66"/>
      <c r="T7" s="66"/>
      <c r="U7" s="66"/>
      <c r="V7" s="66"/>
      <c r="W7" s="66"/>
      <c r="X7" s="66"/>
      <c r="Y7" s="66"/>
      <c r="Z7" s="66"/>
    </row>
    <row r="8">
      <c r="A8" s="66"/>
      <c r="B8" s="66"/>
      <c r="C8" s="66"/>
      <c r="D8" s="68" t="s">
        <v>73</v>
      </c>
      <c r="E8" s="14"/>
      <c r="F8" s="71" t="str">
        <f>sum('ינואר 01'!N11)</f>
        <v>#REF!</v>
      </c>
      <c r="G8" s="72" t="str">
        <f>sum('ינואר 01'!M7)</f>
        <v>#REF!</v>
      </c>
      <c r="H8" s="66"/>
      <c r="I8" s="66"/>
      <c r="J8" s="66"/>
      <c r="K8" s="66"/>
      <c r="L8" s="66"/>
      <c r="M8" s="66"/>
      <c r="N8" s="6"/>
      <c r="O8" s="7"/>
      <c r="P8" s="66"/>
      <c r="Q8" s="6"/>
      <c r="R8" s="7"/>
      <c r="S8" s="66"/>
      <c r="T8" s="66"/>
      <c r="U8" s="66"/>
      <c r="V8" s="66"/>
      <c r="W8" s="66"/>
      <c r="X8" s="66"/>
      <c r="Y8" s="66"/>
      <c r="Z8" s="66"/>
    </row>
    <row r="9">
      <c r="A9" s="66"/>
      <c r="B9" s="66"/>
      <c r="C9" s="66"/>
      <c r="D9" s="68" t="s">
        <v>74</v>
      </c>
      <c r="E9" s="14"/>
      <c r="F9" s="71" t="str">
        <f>sum('פברואר 02'!N11)</f>
        <v>#REF!</v>
      </c>
      <c r="G9" s="72" t="str">
        <f>sum('פברואר 02'!M7)</f>
        <v>#REF!</v>
      </c>
      <c r="H9" s="66"/>
      <c r="I9" s="66"/>
      <c r="J9" s="66"/>
      <c r="K9" s="66"/>
      <c r="L9" s="66"/>
      <c r="M9" s="66"/>
      <c r="N9" s="9"/>
      <c r="O9" s="11"/>
      <c r="P9" s="66"/>
      <c r="Q9" s="9"/>
      <c r="R9" s="11"/>
      <c r="S9" s="66"/>
      <c r="T9" s="66"/>
      <c r="U9" s="66"/>
      <c r="V9" s="66"/>
      <c r="W9" s="66"/>
      <c r="X9" s="66"/>
      <c r="Y9" s="66"/>
      <c r="Z9" s="66"/>
    </row>
    <row r="10">
      <c r="A10" s="66"/>
      <c r="B10" s="66"/>
      <c r="C10" s="66"/>
      <c r="D10" s="68" t="s">
        <v>75</v>
      </c>
      <c r="E10" s="14"/>
      <c r="F10" s="71" t="str">
        <f>sum('מרץ 03'!N11)</f>
        <v>#REF!</v>
      </c>
      <c r="G10" s="72" t="str">
        <f>sum('מרץ 03'!M7)</f>
        <v>#REF!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6"/>
      <c r="C11" s="66"/>
      <c r="D11" s="68" t="s">
        <v>76</v>
      </c>
      <c r="E11" s="14"/>
      <c r="F11" s="71" t="str">
        <f>sum('אפריל 04'!N11)</f>
        <v>#REF!</v>
      </c>
      <c r="G11" s="72" t="str">
        <f>sum('אפריל 04'!M7)</f>
        <v>#REF!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8" t="s">
        <v>77</v>
      </c>
      <c r="E12" s="14"/>
      <c r="F12" s="71" t="str">
        <f>sum('מאי 05'!N11)</f>
        <v>#REF!</v>
      </c>
      <c r="G12" s="72" t="str">
        <f>sum('מאי 05'!M7)</f>
        <v>#REF!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68" t="s">
        <v>78</v>
      </c>
      <c r="E13" s="14"/>
      <c r="F13" s="71" t="str">
        <f>sum('יוני 06'!N11)</f>
        <v>#REF!</v>
      </c>
      <c r="G13" s="72" t="str">
        <f>sum('יוני 06'!M7)</f>
        <v>#REF!</v>
      </c>
      <c r="H13" s="66"/>
      <c r="I13" s="66"/>
      <c r="J13" s="66"/>
      <c r="K13" s="66"/>
      <c r="L13" s="66"/>
      <c r="M13" s="66"/>
      <c r="N13" s="66"/>
      <c r="O13" s="67" t="s">
        <v>79</v>
      </c>
      <c r="P13" s="4"/>
      <c r="Q13" s="5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8" t="s">
        <v>80</v>
      </c>
      <c r="E14" s="14"/>
      <c r="F14" s="71" t="str">
        <f>sum('יולי 07'!N11)</f>
        <v>#REF!</v>
      </c>
      <c r="G14" s="72" t="str">
        <f>sum('יולי 07'!M7)</f>
        <v>#REF!</v>
      </c>
      <c r="H14" s="66"/>
      <c r="I14" s="66"/>
      <c r="J14" s="66"/>
      <c r="K14" s="66"/>
      <c r="L14" s="66"/>
      <c r="M14" s="66"/>
      <c r="N14" s="66"/>
      <c r="O14" s="6"/>
      <c r="Q14" s="7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8" t="s">
        <v>81</v>
      </c>
      <c r="E15" s="14"/>
      <c r="F15" s="71" t="str">
        <f>sum('אוגוסט 08'!N11)</f>
        <v>#REF!</v>
      </c>
      <c r="G15" s="72" t="str">
        <f>sum('אוגוסט 08'!M7)</f>
        <v>#REF!</v>
      </c>
      <c r="H15" s="66"/>
      <c r="I15" s="66"/>
      <c r="J15" s="66"/>
      <c r="K15" s="66"/>
      <c r="L15" s="66"/>
      <c r="M15" s="66"/>
      <c r="N15" s="66"/>
      <c r="O15" s="9"/>
      <c r="P15" s="10"/>
      <c r="Q15" s="11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8" t="s">
        <v>82</v>
      </c>
      <c r="E16" s="14"/>
      <c r="F16" s="71" t="str">
        <f>sum('ספטמבר 09'!N11)</f>
        <v>#REF!</v>
      </c>
      <c r="G16" s="72" t="str">
        <f>sum('ספטמבר 09'!M7)</f>
        <v>#REF!</v>
      </c>
      <c r="H16" s="66"/>
      <c r="I16" s="66"/>
      <c r="J16" s="66"/>
      <c r="K16" s="66"/>
      <c r="L16" s="66"/>
      <c r="M16" s="66"/>
      <c r="N16" s="66"/>
      <c r="O16" s="70" t="str">
        <f>N7-Q7</f>
        <v>#REF!</v>
      </c>
      <c r="P16" s="4"/>
      <c r="Q16" s="5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8" t="s">
        <v>83</v>
      </c>
      <c r="E17" s="14"/>
      <c r="F17" s="71" t="str">
        <f>sum('אוקטובר 10'!N11)</f>
        <v>#REF!</v>
      </c>
      <c r="G17" s="72" t="str">
        <f>sum('אוקטובר 10'!M7)</f>
        <v>#REF!</v>
      </c>
      <c r="H17" s="66"/>
      <c r="I17" s="66"/>
      <c r="J17" s="66"/>
      <c r="K17" s="66"/>
      <c r="L17" s="66"/>
      <c r="M17" s="66"/>
      <c r="N17" s="66"/>
      <c r="O17" s="9"/>
      <c r="P17" s="10"/>
      <c r="Q17" s="11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8" t="s">
        <v>84</v>
      </c>
      <c r="E18" s="14"/>
      <c r="F18" s="71" t="str">
        <f>sum('נובמבר 11'!N11)</f>
        <v>#REF!</v>
      </c>
      <c r="G18" s="72" t="str">
        <f>sum('נובמבר 11'!M7)</f>
        <v>#REF!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8" t="s">
        <v>85</v>
      </c>
      <c r="E19" s="14"/>
      <c r="F19" s="71">
        <f>sum('דצמבר 12'!N11)</f>
        <v>13236</v>
      </c>
      <c r="G19" s="73">
        <f>sum('דצמבר 12'!M7)</f>
        <v>14042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</sheetData>
  <mergeCells count="19">
    <mergeCell ref="N4:O6"/>
    <mergeCell ref="Q4:R6"/>
    <mergeCell ref="D7:E7"/>
    <mergeCell ref="N7:O9"/>
    <mergeCell ref="Q7:R9"/>
    <mergeCell ref="D8:E8"/>
    <mergeCell ref="D9:E9"/>
    <mergeCell ref="O13:Q15"/>
    <mergeCell ref="O16:Q17"/>
    <mergeCell ref="D17:E17"/>
    <mergeCell ref="D18:E18"/>
    <mergeCell ref="D19:E19"/>
    <mergeCell ref="D10:E10"/>
    <mergeCell ref="D11:E11"/>
    <mergeCell ref="D12:E12"/>
    <mergeCell ref="D13:E13"/>
    <mergeCell ref="D14:E14"/>
    <mergeCell ref="D15:E15"/>
    <mergeCell ref="D16:E16"/>
  </mergeCells>
  <conditionalFormatting sqref="O16:Q17">
    <cfRule type="cellIs" dxfId="0" priority="1" operator="greaterThan">
      <formula>0</formula>
    </cfRule>
  </conditionalFormatting>
  <conditionalFormatting sqref="O16:Q17">
    <cfRule type="cellIs" dxfId="1" priority="2" operator="lessThan">
      <formula>0</formula>
    </cfRule>
  </conditionalFormatting>
  <drawing r:id="rId1"/>
</worksheet>
</file>